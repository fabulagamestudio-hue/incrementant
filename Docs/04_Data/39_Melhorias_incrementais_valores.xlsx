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Leia-me" sheetId="1" state="visible" r:id="rId1"/>
    <sheet name="Parametros" sheetId="2" state="visible" r:id="rId2"/>
    <sheet name="Camaras" sheetId="3" state="visible" r:id="rId3"/>
    <sheet name="Galerias" sheetId="4" state="visible" r:id="rId4"/>
    <sheet name="Curva" sheetId="5" state="visible" r:id="rId5"/>
    <sheet name="Curva_acumulada" sheetId="6" state="visible" r:id="rId6"/>
    <sheet name="Resumo" sheetId="7" state="visible" r:id="rId7"/>
  </sheets>
  <definedNames>
    <definedName name="_xlnm._FilterDatabase" localSheetId="2" hidden="1">'Camaras'!$A$1:$K$65</definedName>
    <definedName name="_xlnm._FilterDatabase" localSheetId="3" hidden="1">'Galerias'!$A$1:$V$37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%;\-0%"/>
    <numFmt numFmtId="165" formatCode="0.##"/>
  </numFmts>
  <fonts count="10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008000"/>
      <sz val="11"/>
    </font>
    <font>
      <name val="Arial"/>
      <charset val="1"/>
      <family val="0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5B3A1E"/>
        <bgColor rgb="FF333300"/>
      </patternFill>
    </fill>
  </fills>
  <borders count="2">
    <border>
      <left/>
      <right/>
      <top/>
      <bottom/>
      <diagonal/>
    </border>
    <border>
      <left style="thin">
        <color rgb="FFC8B8A0"/>
      </left>
      <right style="thin">
        <color rgb="FFC8B8A0"/>
      </right>
      <top style="thin">
        <color rgb="FFC8B8A0"/>
      </top>
      <bottom style="thin">
        <color rgb="FFC8B8A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center" wrapText="1"/>
    </xf>
    <xf numFmtId="0" fontId="7" fillId="2" borderId="0" applyAlignment="1" pivotButton="0" quotePrefix="0" xfId="0">
      <alignment horizontal="general" vertical="bottom"/>
    </xf>
    <xf numFmtId="9" fontId="7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3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3" fontId="5" fillId="0" borderId="1" applyAlignment="1" pivotButton="0" quotePrefix="0" xfId="0">
      <alignment horizontal="general" vertical="top" wrapText="1"/>
    </xf>
    <xf numFmtId="2" fontId="8" fillId="0" borderId="1" applyAlignment="1" pivotButton="0" quotePrefix="0" xfId="0">
      <alignment horizontal="general" vertical="top" wrapText="1"/>
    </xf>
    <xf numFmtId="4" fontId="5" fillId="0" borderId="1" applyAlignment="1" pivotButton="0" quotePrefix="0" xfId="0">
      <alignment horizontal="general" vertical="top" wrapText="1"/>
    </xf>
    <xf numFmtId="165" fontId="7" fillId="0" borderId="1" applyAlignment="1" pivotButton="0" quotePrefix="0" xfId="0">
      <alignment horizontal="general" vertical="top" wrapText="1"/>
    </xf>
    <xf numFmtId="0" fontId="9" fillId="3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center" wrapText="1"/>
    </xf>
    <xf numFmtId="0" fontId="7" fillId="2" borderId="0" applyAlignment="1" pivotButton="0" quotePrefix="0" xfId="0">
      <alignment horizontal="general" vertical="bottom"/>
    </xf>
    <xf numFmtId="9" fontId="7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3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3" fontId="5" fillId="0" borderId="1" applyAlignment="1" pivotButton="0" quotePrefix="0" xfId="0">
      <alignment horizontal="general" vertical="top" wrapText="1"/>
    </xf>
    <xf numFmtId="2" fontId="8" fillId="0" borderId="1" applyAlignment="1" pivotButton="0" quotePrefix="0" xfId="0">
      <alignment horizontal="general" vertical="top" wrapText="1"/>
    </xf>
    <xf numFmtId="4" fontId="5" fillId="0" borderId="1" applyAlignment="1" pivotButton="0" quotePrefix="0" xfId="0">
      <alignment horizontal="general" vertical="top" wrapText="1"/>
    </xf>
    <xf numFmtId="165" fontId="7" fillId="0" borderId="1" applyAlignment="1" pivotButton="0" quotePrefix="0" xfId="0">
      <alignment horizontal="general" vertical="top" wrapText="1"/>
    </xf>
    <xf numFmtId="0" fontId="9" fillId="3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A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B3A1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 </author>
  </authors>
  <commentList>
    <comment ref="R1" authorId="0" shapeId="0">
      <text>
        <t>Soma de base × r^(n−1) para n de 1 até o nível de referência (teto, ou o parâmetro de referência nas infinitas).</t>
      </text>
    </comment>
    <comment ref="T1" authorId="0" shapeId="0">
      <text>
        <t>Modo %: base × (1 + efeito × n × marco). Modo abs: base + efeito × n. Para atributos '× base', 1 = valor atual do jogo.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875" defaultRowHeight="15" zeroHeight="0" outlineLevelRow="0"/>
  <cols>
    <col width="140.01" customWidth="1" style="22" min="1" max="1"/>
  </cols>
  <sheetData>
    <row r="1" ht="15" customHeight="1" s="23">
      <c r="A1" s="24" t="inlineStr">
        <is>
          <t>Melhorias incrementais — valores propostos</t>
        </is>
      </c>
    </row>
    <row r="2" ht="15" customHeight="1" s="23">
      <c r="A2" s="25" t="inlineStr">
        <is>
          <t>Documento de regras: Docs/01_Design/39_Melhorias_incrementais_e_formigueiro_de_dependencias.md. Criado em 2026-10-19. Proposta sem balanceamento em jogo.</t>
        </is>
      </c>
    </row>
    <row r="3" ht="15" customHeight="1" s="23">
      <c r="A3" s="25" t="n"/>
    </row>
    <row r="4" ht="15" customHeight="1" s="23">
      <c r="A4" s="26" t="inlineStr">
        <is>
          <t>Convenção de cores</t>
        </is>
      </c>
    </row>
    <row r="5" ht="15" customHeight="1" s="23">
      <c r="A5" s="27" t="inlineStr">
        <is>
          <t>Texto azul = valor digitado (entrada que pode ser ajustada).</t>
        </is>
      </c>
    </row>
    <row r="6" ht="15" customHeight="1" s="23">
      <c r="A6" s="25" t="inlineStr">
        <is>
          <t>Texto preto = fórmula (não digitar por cima).</t>
        </is>
      </c>
    </row>
    <row r="7" ht="15" customHeight="1" s="23">
      <c r="A7" s="28" t="inlineStr">
        <is>
          <t>Texto verde = fórmula que puxa valor de outra aba.</t>
        </is>
      </c>
    </row>
    <row r="8" ht="15" customHeight="1" s="23">
      <c r="A8" s="29" t="inlineStr">
        <is>
          <t>Fundo amarelo = premissa-chave de balanceamento (aba Parametros).</t>
        </is>
      </c>
    </row>
    <row r="9" ht="15" customHeight="1" s="23">
      <c r="A9" s="25" t="n"/>
    </row>
    <row r="10" ht="15" customHeight="1" s="23">
      <c r="A10" s="26" t="inlineStr">
        <is>
          <t>Abas</t>
        </is>
      </c>
    </row>
    <row r="11" ht="15" customHeight="1" s="23">
      <c r="A11" s="25" t="inlineStr">
        <is>
          <t>Parametros: crescimento do custo por tipo, marco de multiplicador, pontos e limites de profundidade.</t>
        </is>
      </c>
    </row>
    <row r="12" ht="15" customHeight="1" s="23">
      <c r="A12" s="25" t="inlineStr">
        <is>
          <t>Camaras: nós únicos (desbloqueios) das duas abas, com requisitos e custo.</t>
        </is>
      </c>
    </row>
    <row r="13" ht="15" customHeight="1" s="23">
      <c r="A13" s="25" t="inlineStr">
        <is>
          <t>Galerias: nós com nível; custo base, efeito por nível, teto e valores calculados.</t>
        </is>
      </c>
    </row>
    <row r="14" ht="15" customHeight="1" s="23">
      <c r="A14" s="25" t="inlineStr">
        <is>
          <t>Curva: custo de cada nível (1 a 50) por galeria. Curva_acumulada: total gasto até o nível.</t>
        </is>
      </c>
    </row>
    <row r="15" ht="15" customHeight="1" s="23">
      <c r="A15" s="25" t="inlineStr">
        <is>
          <t>Resumo: totais por aba da tela Evolução.</t>
        </is>
      </c>
    </row>
    <row r="16" ht="15" customHeight="1" s="23">
      <c r="A16" s="25" t="n"/>
    </row>
    <row r="17" ht="15" customHeight="1" s="23">
      <c r="A17" s="26" t="inlineStr">
        <is>
          <t>Como editar</t>
        </is>
      </c>
    </row>
    <row r="18" ht="15" customHeight="1" s="23">
      <c r="A18" s="25" t="inlineStr">
        <is>
          <t>Ajuste só as células azuis. Para uma galeria nova, copie uma linha de Galerias (as fórmulas seguem) e acrescente o id no cabeçalho da Curva.</t>
        </is>
      </c>
    </row>
    <row r="19" ht="15" customHeight="1" s="23">
      <c r="A19" s="25" t="inlineStr">
        <is>
          <t>Teto vazio = galeria infinita (tipos Economia e Combate). Efeito negativo = redução (tempo, custo, células por vaga).</t>
        </is>
      </c>
    </row>
    <row r="20" ht="15" customHeight="1" s="23">
      <c r="A20" s="25" t="inlineStr">
        <is>
          <t>Modo '%' aplica base × (1 + efeito × n × marco); modo 'abs' soma efeito × n à base.</t>
        </is>
      </c>
    </row>
    <row r="21" ht="15" customHeight="1" s="23">
      <c r="A21" s="25" t="inlineStr">
        <is>
          <t>Origem dos números: custos das seções 18–28 do design (Docs/) e valores base do jogo (ColonySettings, RaidSettings, QueenTree em 2026-10-19); demais valores são propostas do agente.</t>
        </is>
      </c>
    </row>
  </sheetData>
  <printOptions horizontalCentered="0" verticalCentered="0" headings="0" gridLines="0" gridLinesSet="1"/>
  <pageMargins left="0.75" right="0.75" top="1" bottom="1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875" defaultRowHeight="15" zeroHeight="0" outlineLevelRow="0"/>
  <cols>
    <col width="37.99" customWidth="1" style="22" min="1" max="1"/>
    <col width="11.99" customWidth="1" style="22" min="2" max="2"/>
    <col width="90.01000000000001" customWidth="1" style="22" min="3" max="3"/>
  </cols>
  <sheetData>
    <row r="1" ht="15" customHeight="1" s="23">
      <c r="A1" s="30" t="inlineStr">
        <is>
          <t>Parâmetro</t>
        </is>
      </c>
      <c r="B1" s="30" t="inlineStr">
        <is>
          <t>Valor</t>
        </is>
      </c>
      <c r="C1" s="30" t="inlineStr">
        <is>
          <t>Nota</t>
        </is>
      </c>
    </row>
    <row r="2" ht="15" customHeight="1" s="23">
      <c r="A2" s="25" t="inlineStr">
        <is>
          <t>r Físico</t>
        </is>
      </c>
      <c r="B2" s="31" t="n">
        <v>1.35</v>
      </c>
      <c r="C2" s="25" t="inlineStr">
        <is>
          <t>Crescimento do custo por nível nas galerias físicas (com teto).</t>
        </is>
      </c>
    </row>
    <row r="3" ht="15" customHeight="1" s="23">
      <c r="A3" s="25" t="inlineStr">
        <is>
          <t>r Economia</t>
        </is>
      </c>
      <c r="B3" s="31" t="n">
        <v>1.15</v>
      </c>
      <c r="C3" s="25" t="inlineStr">
        <is>
          <t>Crescimento do custo por nível nas galerias de economia (infinitas).</t>
        </is>
      </c>
    </row>
    <row r="4" ht="15" customHeight="1" s="23">
      <c r="A4" s="25" t="inlineStr">
        <is>
          <t>r Combate</t>
        </is>
      </c>
      <c r="B4" s="31" t="n">
        <v>1.22</v>
      </c>
      <c r="C4" s="25" t="inlineStr">
        <is>
          <t>Crescimento do custo por nível nas galerias de combate (infinitas).</t>
        </is>
      </c>
    </row>
    <row r="5" ht="15" customHeight="1" s="23">
      <c r="A5" s="25" t="inlineStr">
        <is>
          <t>Intervalo do marco (níveis)</t>
        </is>
      </c>
      <c r="B5" s="31" t="n">
        <v>10</v>
      </c>
      <c r="C5" s="25" t="inlineStr">
        <is>
          <t>A cada N níveis, o bônus de economia/combate é multiplicado.</t>
        </is>
      </c>
    </row>
    <row r="6" ht="15" customHeight="1" s="23">
      <c r="A6" s="25" t="inlineStr">
        <is>
          <t>Multiplicador do marco</t>
        </is>
      </c>
      <c r="B6" s="31" t="n">
        <v>1.5</v>
      </c>
      <c r="C6" s="25" t="inlineStr">
        <is>
          <t>Multiplica o bônus da própria galeria a cada marco.</t>
        </is>
      </c>
    </row>
    <row r="7" ht="15" customHeight="1" s="23">
      <c r="A7" s="25" t="inlineStr">
        <is>
          <t>Nível de referência das infinitas</t>
        </is>
      </c>
      <c r="B7" s="31" t="n">
        <v>25</v>
      </c>
      <c r="C7" s="25" t="inlineStr">
        <is>
          <t>Nível usado para mostrar custo e valor das galerias sem teto.</t>
        </is>
      </c>
    </row>
    <row r="8" ht="15" customHeight="1" s="23">
      <c r="A8" s="25" t="inlineStr">
        <is>
          <t>Pontos por câmara</t>
        </is>
      </c>
      <c r="B8" s="31" t="n">
        <v>1</v>
      </c>
      <c r="C8" s="25" t="inlineStr">
        <is>
          <t>Profundidade ganha por câmara comprada (iniciais não contam).</t>
        </is>
      </c>
    </row>
    <row r="9" ht="15" customHeight="1" s="23">
      <c r="A9" s="25" t="inlineStr">
        <is>
          <t>Pontos por nível</t>
        </is>
      </c>
      <c r="B9" s="31" t="n">
        <v>1</v>
      </c>
      <c r="C9" s="25" t="inlineStr">
        <is>
          <t>Profundidade ganha por nível de galeria.</t>
        </is>
      </c>
    </row>
    <row r="10" ht="15" customHeight="1" s="23">
      <c r="A10" s="25" t="inlineStr">
        <is>
          <t>Pontos por galeria completa</t>
        </is>
      </c>
      <c r="B10" s="31" t="n">
        <v>3</v>
      </c>
      <c r="C10" s="25" t="inlineStr">
        <is>
          <t>Bônus de profundidade ao atingir o teto.</t>
        </is>
      </c>
    </row>
    <row r="11" ht="15" customHeight="1" s="23">
      <c r="A11" s="25" t="inlineStr">
        <is>
          <t>Profundidade A1</t>
        </is>
      </c>
      <c r="B11" s="31" t="n">
        <v>0</v>
      </c>
      <c r="C11" s="25" t="inlineStr">
        <is>
          <t>Anel 1 aberto desde o início.</t>
        </is>
      </c>
    </row>
    <row r="12" ht="15" customHeight="1" s="23">
      <c r="A12" s="25" t="inlineStr">
        <is>
          <t>Profundidade A2</t>
        </is>
      </c>
      <c r="B12" s="31" t="n">
        <v>5</v>
      </c>
      <c r="C12" s="25" t="inlineStr">
        <is>
          <t>Anel 2.</t>
        </is>
      </c>
    </row>
    <row r="13" ht="15" customHeight="1" s="23">
      <c r="A13" s="25" t="inlineStr">
        <is>
          <t>Profundidade A3</t>
        </is>
      </c>
      <c r="B13" s="31" t="n">
        <v>20</v>
      </c>
      <c r="C13" s="25" t="inlineStr">
        <is>
          <t>Anel 3.</t>
        </is>
      </c>
    </row>
    <row r="14" ht="15" customHeight="1" s="23">
      <c r="A14" s="25" t="inlineStr">
        <is>
          <t>Profundidade A4</t>
        </is>
      </c>
      <c r="B14" s="31" t="n">
        <v>50</v>
      </c>
      <c r="C14" s="25" t="inlineStr">
        <is>
          <t>Anel 4 (câmaras profundas).</t>
        </is>
      </c>
    </row>
    <row r="15" ht="15" customHeight="1" s="23">
      <c r="A15" s="25" t="inlineStr">
        <is>
          <t>Limite de redução do custo da cria</t>
        </is>
      </c>
      <c r="B15" s="32" t="n">
        <v>-0.4</v>
      </c>
      <c r="C15" s="25" t="inlineStr">
        <is>
          <t>Q+2 e N3 somados não passam disso.</t>
        </is>
      </c>
    </row>
  </sheetData>
  <printOptions horizontalCentered="0" verticalCentered="0" headings="0" gridLines="0" gridLinesSet="1"/>
  <pageMargins left="0.75" right="0.75" top="1" bottom="1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875" defaultRowHeight="15" zeroHeight="0" outlineLevelRow="0"/>
  <cols>
    <col width="7" customWidth="1" style="22" min="1" max="1"/>
    <col width="11.99" customWidth="1" style="22" min="2" max="2"/>
    <col width="14.01" customWidth="1" style="22" min="3" max="3"/>
    <col width="7" customWidth="1" style="22" min="4" max="4"/>
    <col width="27.99" customWidth="1" style="22" min="5" max="5"/>
    <col width="26" customWidth="1" style="22" min="6" max="6"/>
    <col width="22.01" customWidth="1" style="22" min="7" max="7"/>
    <col width="70" customWidth="1" style="22" min="8" max="8"/>
    <col width="10" customWidth="1" style="22" min="9" max="9"/>
    <col width="22.01" customWidth="1" style="22" min="10" max="10"/>
    <col width="30.01" customWidth="1" style="22" min="11" max="11"/>
  </cols>
  <sheetData>
    <row r="1" ht="15" customHeight="1" s="23">
      <c r="A1" s="30" t="inlineStr">
        <is>
          <t>Id</t>
        </is>
      </c>
      <c r="B1" s="30" t="inlineStr">
        <is>
          <t>Aba</t>
        </is>
      </c>
      <c r="C1" s="30" t="inlineStr">
        <is>
          <t>Ramo</t>
        </is>
      </c>
      <c r="D1" s="30" t="inlineStr">
        <is>
          <t>Anel</t>
        </is>
      </c>
      <c r="E1" s="30" t="inlineStr">
        <is>
          <t>Nome</t>
        </is>
      </c>
      <c r="F1" s="30" t="inlineStr">
        <is>
          <t>Requisitos (nós)</t>
        </is>
      </c>
      <c r="G1" s="30" t="inlineStr">
        <is>
          <t>Condição do mundo</t>
        </is>
      </c>
      <c r="H1" s="30" t="inlineStr">
        <is>
          <t>Efeito</t>
        </is>
      </c>
      <c r="I1" s="30" t="inlineStr">
        <is>
          <t>Custo (N)</t>
        </is>
      </c>
      <c r="J1" s="30" t="inlineStr">
        <is>
          <t>Origem do custo</t>
        </is>
      </c>
      <c r="K1" s="30" t="inlineStr">
        <is>
          <t>Situação no jogo (2026-10-19)</t>
        </is>
      </c>
    </row>
    <row r="2" ht="15" customHeight="1" s="23">
      <c r="A2" s="33" t="inlineStr">
        <is>
          <t>P0</t>
        </is>
      </c>
      <c r="B2" s="33" t="inlineStr">
        <is>
          <t>Formigueiro</t>
        </is>
      </c>
      <c r="C2" s="33" t="inlineStr">
        <is>
          <t>Centro</t>
        </is>
      </c>
      <c r="D2" s="33" t="inlineStr">
        <is>
          <t>Centro</t>
        </is>
      </c>
      <c r="E2" s="33" t="inlineStr">
        <is>
          <t>Postura</t>
        </is>
      </c>
      <c r="F2" s="33" t="inlineStr">
        <is>
          <t>—</t>
        </is>
      </c>
      <c r="G2" s="33" t="n"/>
      <c r="H2" s="33" t="inlineStr">
        <is>
          <t>Sala da rainha</t>
        </is>
      </c>
      <c r="I2" s="34" t="n">
        <v>0</v>
      </c>
      <c r="J2" s="33" t="inlineStr">
        <is>
          <t>Seção 17</t>
        </is>
      </c>
      <c r="K2" s="33" t="inlineStr">
        <is>
          <t>Inicial</t>
        </is>
      </c>
    </row>
    <row r="3" ht="15" customHeight="1" s="23">
      <c r="A3" s="33" t="inlineStr">
        <is>
          <t>T0</t>
        </is>
      </c>
      <c r="B3" s="33" t="inlineStr">
        <is>
          <t>Formigueiro</t>
        </is>
      </c>
      <c r="C3" s="33" t="inlineStr">
        <is>
          <t>Centro</t>
        </is>
      </c>
      <c r="D3" s="33" t="inlineStr">
        <is>
          <t>Centro</t>
        </is>
      </c>
      <c r="E3" s="33" t="inlineStr">
        <is>
          <t>Túnel comum</t>
        </is>
      </c>
      <c r="F3" s="33" t="inlineStr">
        <is>
          <t>—</t>
        </is>
      </c>
      <c r="G3" s="33" t="n"/>
      <c r="H3" s="33" t="inlineStr">
        <is>
          <t>Túneis genéricos</t>
        </is>
      </c>
      <c r="I3" s="34" t="n">
        <v>0</v>
      </c>
      <c r="J3" s="33" t="inlineStr">
        <is>
          <t>Seção 17</t>
        </is>
      </c>
      <c r="K3" s="33" t="inlineStr">
        <is>
          <t>Inicial</t>
        </is>
      </c>
    </row>
    <row r="4" ht="15" customHeight="1" s="23">
      <c r="A4" s="33" t="inlineStr">
        <is>
          <t>C0</t>
        </is>
      </c>
      <c r="B4" s="33" t="inlineStr">
        <is>
          <t>Formigueiro</t>
        </is>
      </c>
      <c r="C4" s="33" t="inlineStr">
        <is>
          <t>Cultivo</t>
        </is>
      </c>
      <c r="D4" s="33" t="inlineStr">
        <is>
          <t>A1</t>
        </is>
      </c>
      <c r="E4" s="33" t="inlineStr">
        <is>
          <t>Cultivo inicial</t>
        </is>
      </c>
      <c r="F4" s="33" t="inlineStr">
        <is>
          <t>P0</t>
        </is>
      </c>
      <c r="G4" s="33" t="n"/>
      <c r="H4" s="33" t="inlineStr">
        <is>
          <t>Sala de nutrientes (canteiros)</t>
        </is>
      </c>
      <c r="I4" s="34" t="n">
        <v>0</v>
      </c>
      <c r="J4" s="33" t="inlineStr">
        <is>
          <t>Seção 18</t>
        </is>
      </c>
      <c r="K4" s="33" t="inlineStr">
        <is>
          <t>Pincel livre → nó inicial</t>
        </is>
      </c>
    </row>
    <row r="5" ht="15" customHeight="1" s="23">
      <c r="A5" s="33" t="inlineStr">
        <is>
          <t>C1</t>
        </is>
      </c>
      <c r="B5" s="33" t="inlineStr">
        <is>
          <t>Formigueiro</t>
        </is>
      </c>
      <c r="C5" s="33" t="inlineStr">
        <is>
          <t>Cultivo</t>
        </is>
      </c>
      <c r="D5" s="33" t="inlineStr">
        <is>
          <t>A1</t>
        </is>
      </c>
      <c r="E5" s="33" t="inlineStr">
        <is>
          <t>Canteiros organizados</t>
        </is>
      </c>
      <c r="F5" s="33" t="inlineStr">
        <is>
          <t>C0</t>
        </is>
      </c>
      <c r="G5" s="33" t="n"/>
      <c r="H5" s="33" t="inlineStr">
        <is>
          <t>Seção 18</t>
        </is>
      </c>
      <c r="I5" s="34" t="n">
        <v>90</v>
      </c>
      <c r="J5" s="33" t="inlineStr">
        <is>
          <t>Seção 18</t>
        </is>
      </c>
      <c r="K5" s="33" t="inlineStr">
        <is>
          <t>Árvore só exibição</t>
        </is>
      </c>
    </row>
    <row r="6" ht="15" customHeight="1" s="23">
      <c r="A6" s="33" t="inlineStr">
        <is>
          <t>C2</t>
        </is>
      </c>
      <c r="B6" s="33" t="inlineStr">
        <is>
          <t>Formigueiro</t>
        </is>
      </c>
      <c r="C6" s="33" t="inlineStr">
        <is>
          <t>Cultivo</t>
        </is>
      </c>
      <c r="D6" s="33" t="inlineStr">
        <is>
          <t>A2</t>
        </is>
      </c>
      <c r="E6" s="33" t="inlineStr">
        <is>
          <t>Área de preparo</t>
        </is>
      </c>
      <c r="F6" s="33" t="inlineStr">
        <is>
          <t>C1</t>
        </is>
      </c>
      <c r="G6" s="33" t="n"/>
      <c r="H6" s="33" t="inlineStr">
        <is>
          <t>Seção 18</t>
        </is>
      </c>
      <c r="I6" s="34" t="n">
        <v>180</v>
      </c>
      <c r="J6" s="33" t="inlineStr">
        <is>
          <t>Seção 18</t>
        </is>
      </c>
      <c r="K6" s="33" t="inlineStr">
        <is>
          <t>Árvore só exibição</t>
        </is>
      </c>
    </row>
    <row r="7" ht="15" customHeight="1" s="23">
      <c r="A7" s="33" t="inlineStr">
        <is>
          <t>C3</t>
        </is>
      </c>
      <c r="B7" s="33" t="inlineStr">
        <is>
          <t>Formigueiro</t>
        </is>
      </c>
      <c r="C7" s="33" t="inlineStr">
        <is>
          <t>Cultivo</t>
        </is>
      </c>
      <c r="D7" s="33" t="inlineStr">
        <is>
          <t>A2</t>
        </is>
      </c>
      <c r="E7" s="33" t="inlineStr">
        <is>
          <t>Cultivo produtivo</t>
        </is>
      </c>
      <c r="F7" s="33" t="inlineStr">
        <is>
          <t>C1</t>
        </is>
      </c>
      <c r="G7" s="33" t="n"/>
      <c r="H7" s="33" t="inlineStr">
        <is>
          <t>Seção 18</t>
        </is>
      </c>
      <c r="I7" s="34" t="n">
        <v>200</v>
      </c>
      <c r="J7" s="33" t="inlineStr">
        <is>
          <t>Seção 18</t>
        </is>
      </c>
      <c r="K7" s="33" t="inlineStr">
        <is>
          <t>Árvore só exibição</t>
        </is>
      </c>
    </row>
    <row r="8" ht="15" customHeight="1" s="23">
      <c r="A8" s="33" t="inlineStr">
        <is>
          <t>C4</t>
        </is>
      </c>
      <c r="B8" s="33" t="inlineStr">
        <is>
          <t>Formigueiro</t>
        </is>
      </c>
      <c r="C8" s="33" t="inlineStr">
        <is>
          <t>Cultivo</t>
        </is>
      </c>
      <c r="D8" s="33" t="inlineStr">
        <is>
          <t>A3</t>
        </is>
      </c>
      <c r="E8" s="33" t="inlineStr">
        <is>
          <t>Cultivo integrado</t>
        </is>
      </c>
      <c r="F8" s="33" t="inlineStr">
        <is>
          <t>C2 e C3</t>
        </is>
      </c>
      <c r="G8" s="33" t="n"/>
      <c r="H8" s="33" t="inlineStr">
        <is>
          <t>Seção 18</t>
        </is>
      </c>
      <c r="I8" s="34" t="n">
        <v>400</v>
      </c>
      <c r="J8" s="33" t="inlineStr">
        <is>
          <t>Seção 18</t>
        </is>
      </c>
      <c r="K8" s="33" t="inlineStr">
        <is>
          <t>Árvore só exibição</t>
        </is>
      </c>
    </row>
    <row r="9" ht="15" customHeight="1" s="23">
      <c r="A9" s="33" t="inlineStr">
        <is>
          <t>C5</t>
        </is>
      </c>
      <c r="B9" s="33" t="inlineStr">
        <is>
          <t>Formigueiro</t>
        </is>
      </c>
      <c r="C9" s="33" t="inlineStr">
        <is>
          <t>Cultivo</t>
        </is>
      </c>
      <c r="D9" s="33" t="inlineStr">
        <is>
          <t>A4</t>
        </is>
      </c>
      <c r="E9" s="33" t="inlineStr">
        <is>
          <t>Jardim da rainha</t>
        </is>
      </c>
      <c r="F9" s="33" t="inlineStr">
        <is>
          <t>C4 e J+1 Nv 10</t>
        </is>
      </c>
      <c r="G9" s="33" t="n"/>
      <c r="H9" s="33" t="inlineStr">
        <is>
          <t>Nutriente pronto a até 12 células da rainha conta direto no saldo</t>
        </is>
      </c>
      <c r="I9" s="34" t="n">
        <v>2500</v>
      </c>
      <c r="J9" s="33" t="inlineStr">
        <is>
          <t>Proposta 39</t>
        </is>
      </c>
      <c r="K9" s="33" t="inlineStr">
        <is>
          <t>Novo</t>
        </is>
      </c>
    </row>
    <row r="10" ht="15" customHeight="1" s="23">
      <c r="A10" s="33" t="inlineStr">
        <is>
          <t>B0</t>
        </is>
      </c>
      <c r="B10" s="33" t="inlineStr">
        <is>
          <t>Formigueiro</t>
        </is>
      </c>
      <c r="C10" s="33" t="inlineStr">
        <is>
          <t>Berçário</t>
        </is>
      </c>
      <c r="D10" s="33" t="inlineStr">
        <is>
          <t>A1</t>
        </is>
      </c>
      <c r="E10" s="33" t="inlineStr">
        <is>
          <t>Berçário inicial</t>
        </is>
      </c>
      <c r="F10" s="33" t="inlineStr">
        <is>
          <t>C0</t>
        </is>
      </c>
      <c r="G10" s="33" t="n"/>
      <c r="H10" s="33" t="inlineStr">
        <is>
          <t>Seção 19</t>
        </is>
      </c>
      <c r="I10" s="34" t="n">
        <v>50</v>
      </c>
      <c r="J10" s="33" t="inlineStr">
        <is>
          <t>Seção 19</t>
        </is>
      </c>
      <c r="K10" s="33" t="inlineStr">
        <is>
          <t>Árvore só exibição</t>
        </is>
      </c>
    </row>
    <row r="11" ht="15" customHeight="1" s="23">
      <c r="A11" s="33" t="inlineStr">
        <is>
          <t>B1</t>
        </is>
      </c>
      <c r="B11" s="33" t="inlineStr">
        <is>
          <t>Formigueiro</t>
        </is>
      </c>
      <c r="C11" s="33" t="inlineStr">
        <is>
          <t>Berçário</t>
        </is>
      </c>
      <c r="D11" s="33" t="inlineStr">
        <is>
          <t>A2</t>
        </is>
      </c>
      <c r="E11" s="33" t="inlineStr">
        <is>
          <t>Leitos de criação</t>
        </is>
      </c>
      <c r="F11" s="33" t="inlineStr">
        <is>
          <t>B0</t>
        </is>
      </c>
      <c r="G11" s="33" t="n"/>
      <c r="H11" s="33" t="inlineStr">
        <is>
          <t>Seção 19</t>
        </is>
      </c>
      <c r="I11" s="34" t="n">
        <v>110</v>
      </c>
      <c r="J11" s="33" t="inlineStr">
        <is>
          <t>Seção 19</t>
        </is>
      </c>
      <c r="K11" s="33" t="inlineStr">
        <is>
          <t>Árvore só exibição</t>
        </is>
      </c>
    </row>
    <row r="12" ht="15" customHeight="1" s="23">
      <c r="A12" s="33" t="inlineStr">
        <is>
          <t>B2</t>
        </is>
      </c>
      <c r="B12" s="33" t="inlineStr">
        <is>
          <t>Formigueiro</t>
        </is>
      </c>
      <c r="C12" s="33" t="inlineStr">
        <is>
          <t>Berçário</t>
        </is>
      </c>
      <c r="D12" s="33" t="inlineStr">
        <is>
          <t>A2</t>
        </is>
      </c>
      <c r="E12" s="33" t="inlineStr">
        <is>
          <t>Área de maturação</t>
        </is>
      </c>
      <c r="F12" s="33" t="inlineStr">
        <is>
          <t>B0</t>
        </is>
      </c>
      <c r="G12" s="33" t="n"/>
      <c r="H12" s="33" t="inlineStr">
        <is>
          <t>Seção 19</t>
        </is>
      </c>
      <c r="I12" s="34" t="n">
        <v>110</v>
      </c>
      <c r="J12" s="33" t="inlineStr">
        <is>
          <t>Seção 19</t>
        </is>
      </c>
      <c r="K12" s="33" t="inlineStr">
        <is>
          <t>Árvore só exibição</t>
        </is>
      </c>
    </row>
    <row r="13" ht="15" customHeight="1" s="23">
      <c r="A13" s="33" t="inlineStr">
        <is>
          <t>B3</t>
        </is>
      </c>
      <c r="B13" s="33" t="inlineStr">
        <is>
          <t>Formigueiro</t>
        </is>
      </c>
      <c r="C13" s="33" t="inlineStr">
        <is>
          <t>Berçário</t>
        </is>
      </c>
      <c r="D13" s="33" t="inlineStr">
        <is>
          <t>A3</t>
        </is>
      </c>
      <c r="E13" s="33" t="inlineStr">
        <is>
          <t>Berçário organizado</t>
        </is>
      </c>
      <c r="F13" s="33" t="inlineStr">
        <is>
          <t>B1 e B2</t>
        </is>
      </c>
      <c r="G13" s="33" t="n"/>
      <c r="H13" s="33" t="inlineStr">
        <is>
          <t>Seção 19</t>
        </is>
      </c>
      <c r="I13" s="34" t="n">
        <v>260</v>
      </c>
      <c r="J13" s="33" t="inlineStr">
        <is>
          <t>Seção 19</t>
        </is>
      </c>
      <c r="K13" s="33" t="inlineStr">
        <is>
          <t>Árvore só exibição</t>
        </is>
      </c>
    </row>
    <row r="14" ht="15" customHeight="1" s="23">
      <c r="A14" s="33" t="inlineStr">
        <is>
          <t>B4</t>
        </is>
      </c>
      <c r="B14" s="33" t="inlineStr">
        <is>
          <t>Formigueiro</t>
        </is>
      </c>
      <c r="C14" s="33" t="inlineStr">
        <is>
          <t>Berçário</t>
        </is>
      </c>
      <c r="D14" s="33" t="inlineStr">
        <is>
          <t>A4</t>
        </is>
      </c>
      <c r="E14" s="33" t="inlineStr">
        <is>
          <t>Ninhada gêmea</t>
        </is>
      </c>
      <c r="F14" s="33" t="inlineStr">
        <is>
          <t>B3, Q2 e B+1 Nv 5</t>
        </is>
      </c>
      <c r="G14" s="33" t="n"/>
      <c r="H14" s="33" t="inlineStr">
        <is>
          <t>10% dos ovos viram duas larvas (paga uma cria)</t>
        </is>
      </c>
      <c r="I14" s="34" t="n">
        <v>1800</v>
      </c>
      <c r="J14" s="33" t="inlineStr">
        <is>
          <t>Proposta 39</t>
        </is>
      </c>
      <c r="K14" s="33" t="inlineStr">
        <is>
          <t>Novo</t>
        </is>
      </c>
    </row>
    <row r="15" ht="15" customHeight="1" s="23">
      <c r="A15" s="33" t="inlineStr">
        <is>
          <t>D0</t>
        </is>
      </c>
      <c r="B15" s="33" t="inlineStr">
        <is>
          <t>Formigueiro</t>
        </is>
      </c>
      <c r="C15" s="33" t="inlineStr">
        <is>
          <t>Depósito</t>
        </is>
      </c>
      <c r="D15" s="33" t="inlineStr">
        <is>
          <t>A1</t>
        </is>
      </c>
      <c r="E15" s="33" t="inlineStr">
        <is>
          <t>Depósito de alimentos</t>
        </is>
      </c>
      <c r="F15" s="33" t="inlineStr">
        <is>
          <t>C0</t>
        </is>
      </c>
      <c r="G15" s="33" t="n"/>
      <c r="H15" s="33" t="inlineStr">
        <is>
          <t>Seção 20</t>
        </is>
      </c>
      <c r="I15" s="34" t="n">
        <v>80</v>
      </c>
      <c r="J15" s="33" t="inlineStr">
        <is>
          <t>Seção 20</t>
        </is>
      </c>
      <c r="K15" s="33" t="inlineStr">
        <is>
          <t>Pincel livre → migração</t>
        </is>
      </c>
    </row>
    <row r="16" ht="15" customHeight="1" s="23">
      <c r="A16" s="33" t="inlineStr">
        <is>
          <t>D3</t>
        </is>
      </c>
      <c r="B16" s="33" t="inlineStr">
        <is>
          <t>Formigueiro</t>
        </is>
      </c>
      <c r="C16" s="33" t="inlineStr">
        <is>
          <t>Depósito</t>
        </is>
      </c>
      <c r="D16" s="33" t="inlineStr">
        <is>
          <t>A1</t>
        </is>
      </c>
      <c r="E16" s="33" t="inlineStr">
        <is>
          <t>Depósito de construção</t>
        </is>
      </c>
      <c r="F16" s="33" t="inlineStr">
        <is>
          <t>T0</t>
        </is>
      </c>
      <c r="G16" s="33" t="n"/>
      <c r="H16" s="33" t="inlineStr">
        <is>
          <t>Pincel do depósito de construção</t>
        </is>
      </c>
      <c r="I16" s="34" t="n">
        <v>40</v>
      </c>
      <c r="J16" s="33" t="inlineStr">
        <is>
          <t>Proposta 39</t>
        </is>
      </c>
      <c r="K16" s="33" t="inlineStr">
        <is>
          <t>Pincel livre → migração</t>
        </is>
      </c>
    </row>
    <row r="17" ht="15" customHeight="1" s="23">
      <c r="A17" s="33" t="inlineStr">
        <is>
          <t>D4</t>
        </is>
      </c>
      <c r="B17" s="33" t="inlineStr">
        <is>
          <t>Formigueiro</t>
        </is>
      </c>
      <c r="C17" s="33" t="inlineStr">
        <is>
          <t>Depósito</t>
        </is>
      </c>
      <c r="D17" s="33" t="inlineStr">
        <is>
          <t>A1</t>
        </is>
      </c>
      <c r="E17" s="33" t="inlineStr">
        <is>
          <t>Depósito de água</t>
        </is>
      </c>
      <c r="F17" s="33" t="inlineStr">
        <is>
          <t>T0</t>
        </is>
      </c>
      <c r="G17" s="33" t="n"/>
      <c r="H17" s="33" t="inlineStr">
        <is>
          <t>Pincel do depósito de água</t>
        </is>
      </c>
      <c r="I17" s="34" t="n">
        <v>40</v>
      </c>
      <c r="J17" s="33" t="inlineStr">
        <is>
          <t>Proposta 39</t>
        </is>
      </c>
      <c r="K17" s="33" t="inlineStr">
        <is>
          <t>Pincel livre → migração</t>
        </is>
      </c>
    </row>
    <row r="18" ht="15" customHeight="1" s="23">
      <c r="A18" s="33" t="inlineStr">
        <is>
          <t>D1</t>
        </is>
      </c>
      <c r="B18" s="33" t="inlineStr">
        <is>
          <t>Formigueiro</t>
        </is>
      </c>
      <c r="C18" s="33" t="inlineStr">
        <is>
          <t>Depósito</t>
        </is>
      </c>
      <c r="D18" s="33" t="inlineStr">
        <is>
          <t>A2</t>
        </is>
      </c>
      <c r="E18" s="33" t="inlineStr">
        <is>
          <t>Pilhas organizadas</t>
        </is>
      </c>
      <c r="F18" s="33" t="inlineStr">
        <is>
          <t>D0</t>
        </is>
      </c>
      <c r="G18" s="33" t="n"/>
      <c r="H18" s="33" t="inlineStr">
        <is>
          <t>Seção 20</t>
        </is>
      </c>
      <c r="I18" s="34" t="n">
        <v>150</v>
      </c>
      <c r="J18" s="33" t="inlineStr">
        <is>
          <t>Seção 20</t>
        </is>
      </c>
      <c r="K18" s="33" t="inlineStr">
        <is>
          <t>Árvore só exibição</t>
        </is>
      </c>
    </row>
    <row r="19" ht="15" customHeight="1" s="23">
      <c r="A19" s="33" t="inlineStr">
        <is>
          <t>D2</t>
        </is>
      </c>
      <c r="B19" s="33" t="inlineStr">
        <is>
          <t>Formigueiro</t>
        </is>
      </c>
      <c r="C19" s="33" t="inlineStr">
        <is>
          <t>Depósito</t>
        </is>
      </c>
      <c r="D19" s="33" t="inlineStr">
        <is>
          <t>A3</t>
        </is>
      </c>
      <c r="E19" s="33" t="inlineStr">
        <is>
          <t>Cargas grandes</t>
        </is>
      </c>
      <c r="F19" s="33" t="inlineStr">
        <is>
          <t>D1 e L1</t>
        </is>
      </c>
      <c r="G19" s="33" t="n"/>
      <c r="H19" s="33" t="inlineStr">
        <is>
          <t>Seção 20</t>
        </is>
      </c>
      <c r="I19" s="34" t="n">
        <v>260</v>
      </c>
      <c r="J19" s="33" t="inlineStr">
        <is>
          <t>Seção 20</t>
        </is>
      </c>
      <c r="K19" s="33" t="inlineStr">
        <is>
          <t>Árvore só exibição</t>
        </is>
      </c>
    </row>
    <row r="20" ht="15" customHeight="1" s="23">
      <c r="A20" s="33" t="inlineStr">
        <is>
          <t>D5</t>
        </is>
      </c>
      <c r="B20" s="33" t="inlineStr">
        <is>
          <t>Formigueiro</t>
        </is>
      </c>
      <c r="C20" s="33" t="inlineStr">
        <is>
          <t>Depósito</t>
        </is>
      </c>
      <c r="D20" s="33" t="inlineStr">
        <is>
          <t>A4</t>
        </is>
      </c>
      <c r="E20" s="33" t="inlineStr">
        <is>
          <t>Logística integrada</t>
        </is>
      </c>
      <c r="F20" s="33" t="inlineStr">
        <is>
          <t>D2, D3, D4 e L2</t>
        </is>
      </c>
      <c r="G20" s="33" t="n"/>
      <c r="H20" s="33" t="inlineStr">
        <is>
          <t>Ociosas levam itens ao depósito mais perto de quem consome</t>
        </is>
      </c>
      <c r="I20" s="34" t="n">
        <v>1600</v>
      </c>
      <c r="J20" s="33" t="inlineStr">
        <is>
          <t>Proposta 39</t>
        </is>
      </c>
      <c r="K20" s="33" t="inlineStr">
        <is>
          <t>Novo</t>
        </is>
      </c>
    </row>
    <row r="21" ht="15" customHeight="1" s="23">
      <c r="A21" s="33" t="inlineStr">
        <is>
          <t>R0</t>
        </is>
      </c>
      <c r="B21" s="33" t="inlineStr">
        <is>
          <t>Formigueiro</t>
        </is>
      </c>
      <c r="C21" s="33" t="inlineStr">
        <is>
          <t>Resíduos</t>
        </is>
      </c>
      <c r="D21" s="33" t="inlineStr">
        <is>
          <t>A1</t>
        </is>
      </c>
      <c r="E21" s="33" t="inlineStr">
        <is>
          <t>Área de resíduos</t>
        </is>
      </c>
      <c r="F21" s="33" t="inlineStr">
        <is>
          <t>C0</t>
        </is>
      </c>
      <c r="G21" s="33" t="n"/>
      <c r="H21" s="33" t="inlineStr">
        <is>
          <t>Seção 21</t>
        </is>
      </c>
      <c r="I21" s="34" t="n">
        <v>0</v>
      </c>
      <c r="J21" s="33" t="inlineStr">
        <is>
          <t>Seção 21 (60 N); 0 por ser pincel livre</t>
        </is>
      </c>
      <c r="K21" s="33" t="inlineStr">
        <is>
          <t>Pincel livre → nó inicial</t>
        </is>
      </c>
    </row>
    <row r="22" ht="15" customHeight="1" s="23">
      <c r="A22" s="33" t="inlineStr">
        <is>
          <t>R1</t>
        </is>
      </c>
      <c r="B22" s="33" t="inlineStr">
        <is>
          <t>Formigueiro</t>
        </is>
      </c>
      <c r="C22" s="33" t="inlineStr">
        <is>
          <t>Resíduos</t>
        </is>
      </c>
      <c r="D22" s="33" t="inlineStr">
        <is>
          <t>A2</t>
        </is>
      </c>
      <c r="E22" s="33" t="inlineStr">
        <is>
          <t>Decomposição acelerada</t>
        </is>
      </c>
      <c r="F22" s="33" t="inlineStr">
        <is>
          <t>R0</t>
        </is>
      </c>
      <c r="G22" s="33" t="n"/>
      <c r="H22" s="33" t="inlineStr">
        <is>
          <t>Seção 21</t>
        </is>
      </c>
      <c r="I22" s="34" t="n">
        <v>140</v>
      </c>
      <c r="J22" s="33" t="inlineStr">
        <is>
          <t>Seção 21</t>
        </is>
      </c>
      <c r="K22" s="33" t="inlineStr">
        <is>
          <t>Árvore só exibição</t>
        </is>
      </c>
    </row>
    <row r="23" ht="15" customHeight="1" s="23">
      <c r="A23" s="33" t="inlineStr">
        <is>
          <t>G0</t>
        </is>
      </c>
      <c r="B23" s="33" t="inlineStr">
        <is>
          <t>Formigueiro</t>
        </is>
      </c>
      <c r="C23" s="33" t="inlineStr">
        <is>
          <t>Orvalho</t>
        </is>
      </c>
      <c r="D23" s="33" t="inlineStr">
        <is>
          <t>A1</t>
        </is>
      </c>
      <c r="E23" s="33" t="inlineStr">
        <is>
          <t>Sala Gotas de orvalho</t>
        </is>
      </c>
      <c r="F23" s="33" t="inlineStr">
        <is>
          <t>T0</t>
        </is>
      </c>
      <c r="G23" s="33" t="n"/>
      <c r="H23" s="33" t="inlineStr">
        <is>
          <t>Pincel da sala de orvalho</t>
        </is>
      </c>
      <c r="I23" s="34" t="n">
        <v>0</v>
      </c>
      <c r="J23" s="33" t="inlineStr">
        <is>
          <t>Proposta 39</t>
        </is>
      </c>
      <c r="K23" s="33" t="inlineStr">
        <is>
          <t>Pincel livre → nó inicial</t>
        </is>
      </c>
    </row>
    <row r="24" ht="15" customHeight="1" s="23">
      <c r="A24" s="33" t="inlineStr">
        <is>
          <t>G1</t>
        </is>
      </c>
      <c r="B24" s="33" t="inlineStr">
        <is>
          <t>Formigueiro</t>
        </is>
      </c>
      <c r="C24" s="33" t="inlineStr">
        <is>
          <t>Orvalho</t>
        </is>
      </c>
      <c r="D24" s="33" t="inlineStr">
        <is>
          <t>A2</t>
        </is>
      </c>
      <c r="E24" s="33" t="inlineStr">
        <is>
          <t>Folhas coletoras</t>
        </is>
      </c>
      <c r="F24" s="33" t="inlineStr">
        <is>
          <t>G0 e C1</t>
        </is>
      </c>
      <c r="G24" s="33" t="n"/>
      <c r="H24" s="33" t="inlineStr">
        <is>
          <t>Cada gota vale 2 células de água</t>
        </is>
      </c>
      <c r="I24" s="34" t="n">
        <v>300</v>
      </c>
      <c r="J24" s="33" t="inlineStr">
        <is>
          <t>Proposta 39</t>
        </is>
      </c>
      <c r="K24" s="33" t="inlineStr">
        <is>
          <t>Novo</t>
        </is>
      </c>
    </row>
    <row r="25" ht="15" customHeight="1" s="23">
      <c r="A25" s="33" t="inlineStr">
        <is>
          <t>G2</t>
        </is>
      </c>
      <c r="B25" s="33" t="inlineStr">
        <is>
          <t>Formigueiro</t>
        </is>
      </c>
      <c r="C25" s="33" t="inlineStr">
        <is>
          <t>Orvalho</t>
        </is>
      </c>
      <c r="D25" s="33" t="inlineStr">
        <is>
          <t>A3</t>
        </is>
      </c>
      <c r="E25" s="33" t="inlineStr">
        <is>
          <t>Neblina do amanhecer</t>
        </is>
      </c>
      <c r="F25" s="33" t="inlineStr">
        <is>
          <t>G+1 Nv 10 e J+2 Nv 5</t>
        </is>
      </c>
      <c r="G25" s="33" t="n"/>
      <c r="H25" s="33" t="inlineStr">
        <is>
          <t>Gotas também caem nos canteiros vizinhos</t>
        </is>
      </c>
      <c r="I25" s="34" t="n">
        <v>900</v>
      </c>
      <c r="J25" s="33" t="inlineStr">
        <is>
          <t>Proposta 39</t>
        </is>
      </c>
      <c r="K25" s="33" t="inlineStr">
        <is>
          <t>Novo</t>
        </is>
      </c>
    </row>
    <row r="26" ht="15" customHeight="1" s="23">
      <c r="A26" s="33" t="inlineStr">
        <is>
          <t>T1</t>
        </is>
      </c>
      <c r="B26" s="33" t="inlineStr">
        <is>
          <t>Formigueiro</t>
        </is>
      </c>
      <c r="C26" s="33" t="inlineStr">
        <is>
          <t>Obra</t>
        </is>
      </c>
      <c r="D26" s="33" t="inlineStr">
        <is>
          <t>A1</t>
        </is>
      </c>
      <c r="E26" s="33" t="inlineStr">
        <is>
          <t>Despejo organizado</t>
        </is>
      </c>
      <c r="F26" s="33" t="inlineStr">
        <is>
          <t>T0</t>
        </is>
      </c>
      <c r="G26" s="33" t="n"/>
      <c r="H26" s="33" t="inlineStr">
        <is>
          <t>Aberturas de despejo 4 → 6</t>
        </is>
      </c>
      <c r="I26" s="34" t="n">
        <v>120</v>
      </c>
      <c r="J26" s="33" t="inlineStr">
        <is>
          <t>Proposta 39</t>
        </is>
      </c>
      <c r="K26" s="33" t="inlineStr">
        <is>
          <t>Novo</t>
        </is>
      </c>
    </row>
    <row r="27" ht="15" customHeight="1" s="23">
      <c r="A27" s="33" t="inlineStr">
        <is>
          <t>T2</t>
        </is>
      </c>
      <c r="B27" s="33" t="inlineStr">
        <is>
          <t>Formigueiro</t>
        </is>
      </c>
      <c r="C27" s="33" t="inlineStr">
        <is>
          <t>Obra</t>
        </is>
      </c>
      <c r="D27" s="33" t="inlineStr">
        <is>
          <t>A3</t>
        </is>
      </c>
      <c r="E27" s="33" t="inlineStr">
        <is>
          <t>Rotas batidas</t>
        </is>
      </c>
      <c r="F27" s="33" t="inlineStr">
        <is>
          <t>T+1 Nv 5 e O2</t>
        </is>
      </c>
      <c r="G27" s="33" t="n"/>
      <c r="H27" s="33" t="inlineStr">
        <is>
          <t>Túneis de muito tráfego: +10% de velocidade dentro do formigueiro</t>
        </is>
      </c>
      <c r="I27" s="34" t="n">
        <v>700</v>
      </c>
      <c r="J27" s="33" t="inlineStr">
        <is>
          <t>Proposta 39</t>
        </is>
      </c>
      <c r="K27" s="33" t="inlineStr">
        <is>
          <t>Novo</t>
        </is>
      </c>
    </row>
    <row r="28" ht="15" customHeight="1" s="23">
      <c r="A28" s="33" t="inlineStr">
        <is>
          <t>X0</t>
        </is>
      </c>
      <c r="B28" s="33" t="inlineStr">
        <is>
          <t>Formigueiro</t>
        </is>
      </c>
      <c r="C28" s="33" t="inlineStr">
        <is>
          <t>Exterior</t>
        </is>
      </c>
      <c r="D28" s="33" t="inlineStr">
        <is>
          <t>A1</t>
        </is>
      </c>
      <c r="E28" s="33" t="inlineStr">
        <is>
          <t>Trilha de forrageio</t>
        </is>
      </c>
      <c r="F28" s="33" t="inlineStr">
        <is>
          <t>T0</t>
        </is>
      </c>
      <c r="G28" s="33" t="n"/>
      <c r="H28" s="33" t="inlineStr">
        <is>
          <t>+10% de velocidade fora do formigueiro</t>
        </is>
      </c>
      <c r="I28" s="34" t="n">
        <v>80</v>
      </c>
      <c r="J28" s="33" t="inlineStr">
        <is>
          <t>Proposta 39</t>
        </is>
      </c>
      <c r="K28" s="33" t="inlineStr">
        <is>
          <t>Novo</t>
        </is>
      </c>
    </row>
    <row r="29" ht="15" customHeight="1" s="23">
      <c r="A29" s="33" t="inlineStr">
        <is>
          <t>X1</t>
        </is>
      </c>
      <c r="B29" s="33" t="inlineStr">
        <is>
          <t>Formigueiro</t>
        </is>
      </c>
      <c r="C29" s="33" t="inlineStr">
        <is>
          <t>Exterior</t>
        </is>
      </c>
      <c r="D29" s="33" t="inlineStr">
        <is>
          <t>A3</t>
        </is>
      </c>
      <c r="E29" s="33" t="inlineStr">
        <is>
          <t>Jardim cultivado</t>
        </is>
      </c>
      <c r="F29" s="33" t="inlineStr">
        <is>
          <t>X+1 Nv 10 e J1</t>
        </is>
      </c>
      <c r="G29" s="33" t="n"/>
      <c r="H29" s="33" t="inlineStr">
        <is>
          <t>Plantas cortadas perto da entrada rebrotam no lugar</t>
        </is>
      </c>
      <c r="I29" s="34" t="n">
        <v>800</v>
      </c>
      <c r="J29" s="33" t="inlineStr">
        <is>
          <t>Proposta 39</t>
        </is>
      </c>
      <c r="K29" s="33" t="inlineStr">
        <is>
          <t>Novo</t>
        </is>
      </c>
    </row>
    <row r="30" ht="15" customHeight="1" s="23">
      <c r="A30" s="33" t="inlineStr">
        <is>
          <t>M0</t>
        </is>
      </c>
      <c r="B30" s="33" t="inlineStr">
        <is>
          <t>Formigueiro</t>
        </is>
      </c>
      <c r="C30" s="33" t="inlineStr">
        <is>
          <t>Defesa</t>
        </is>
      </c>
      <c r="D30" s="33" t="inlineStr">
        <is>
          <t>A2</t>
        </is>
      </c>
      <c r="E30" s="33" t="inlineStr">
        <is>
          <t>Entradas vigiadas</t>
        </is>
      </c>
      <c r="F30" s="33" t="inlineStr">
        <is>
          <t>T0</t>
        </is>
      </c>
      <c r="G30" s="33" t="inlineStr">
        <is>
          <t>Primeiro ataque vencido</t>
        </is>
      </c>
      <c r="H30" s="33" t="inlineStr">
        <is>
          <t>Aviso de ataque 8 → 12 s</t>
        </is>
      </c>
      <c r="I30" s="34" t="n">
        <v>250</v>
      </c>
      <c r="J30" s="33" t="inlineStr">
        <is>
          <t>Proposta 39</t>
        </is>
      </c>
      <c r="K30" s="33" t="inlineStr">
        <is>
          <t>Novo</t>
        </is>
      </c>
    </row>
    <row r="31" ht="15" customHeight="1" s="23">
      <c r="A31" s="33" t="inlineStr">
        <is>
          <t>M1</t>
        </is>
      </c>
      <c r="B31" s="33" t="inlineStr">
        <is>
          <t>Formigueiro</t>
        </is>
      </c>
      <c r="C31" s="33" t="inlineStr">
        <is>
          <t>Defesa</t>
        </is>
      </c>
      <c r="D31" s="33" t="inlineStr">
        <is>
          <t>A3</t>
        </is>
      </c>
      <c r="E31" s="33" t="inlineStr">
        <is>
          <t>Câmara de refúgio</t>
        </is>
      </c>
      <c r="F31" s="33" t="inlineStr">
        <is>
          <t>M0, B3 e N2</t>
        </is>
      </c>
      <c r="G31" s="33" t="inlineStr">
        <is>
          <t>5 ataques vencidos</t>
        </is>
      </c>
      <c r="H31" s="33" t="inlineStr">
        <is>
          <t>Pincel de refúgio para crias e cuidadoras no aviso</t>
        </is>
      </c>
      <c r="I31" s="34" t="n">
        <v>900</v>
      </c>
      <c r="J31" s="33" t="inlineStr">
        <is>
          <t>Proposta 39</t>
        </is>
      </c>
      <c r="K31" s="33" t="inlineStr">
        <is>
          <t>Novo</t>
        </is>
      </c>
    </row>
    <row r="32" ht="15" customHeight="1" s="23">
      <c r="A32" s="33" t="inlineStr">
        <is>
          <t>Q0</t>
        </is>
      </c>
      <c r="B32" s="33" t="inlineStr">
        <is>
          <t>Rainha</t>
        </is>
      </c>
      <c r="C32" s="33" t="inlineStr">
        <is>
          <t>Rainha</t>
        </is>
      </c>
      <c r="D32" s="33" t="inlineStr">
        <is>
          <t>Centro</t>
        </is>
      </c>
      <c r="E32" s="33" t="inlineStr">
        <is>
          <t>Postura inicial</t>
        </is>
      </c>
      <c r="F32" s="33" t="inlineStr">
        <is>
          <t>—</t>
        </is>
      </c>
      <c r="G32" s="33" t="n"/>
      <c r="H32" s="33" t="inlineStr">
        <is>
          <t>Seção 23</t>
        </is>
      </c>
      <c r="I32" s="34" t="n">
        <v>0</v>
      </c>
      <c r="J32" s="33" t="inlineStr">
        <is>
          <t>QueenTree</t>
        </is>
      </c>
      <c r="K32" s="33" t="inlineStr">
        <is>
          <t>Inicial</t>
        </is>
      </c>
    </row>
    <row r="33" ht="15" customHeight="1" s="23">
      <c r="A33" s="33" t="inlineStr">
        <is>
          <t>Q1</t>
        </is>
      </c>
      <c r="B33" s="33" t="inlineStr">
        <is>
          <t>Rainha</t>
        </is>
      </c>
      <c r="C33" s="33" t="inlineStr">
        <is>
          <t>Rainha</t>
        </is>
      </c>
      <c r="D33" s="33" t="inlineStr">
        <is>
          <t>A1</t>
        </is>
      </c>
      <c r="E33" s="33" t="inlineStr">
        <is>
          <t>Postura acelerada</t>
        </is>
      </c>
      <c r="F33" s="33" t="inlineStr">
        <is>
          <t>Q0</t>
        </is>
      </c>
      <c r="G33" s="33" t="n"/>
      <c r="H33" s="33" t="inlineStr">
        <is>
          <t>18 s → 12 s por ciclo</t>
        </is>
      </c>
      <c r="I33" s="34" t="n">
        <v>150</v>
      </c>
      <c r="J33" s="33" t="inlineStr">
        <is>
          <t>QueenTree</t>
        </is>
      </c>
      <c r="K33" s="33" t="inlineStr">
        <is>
          <t>Implementado</t>
        </is>
      </c>
    </row>
    <row r="34" ht="15" customHeight="1" s="23">
      <c r="A34" s="33" t="inlineStr">
        <is>
          <t>Q2</t>
        </is>
      </c>
      <c r="B34" s="33" t="inlineStr">
        <is>
          <t>Rainha</t>
        </is>
      </c>
      <c r="C34" s="33" t="inlineStr">
        <is>
          <t>Rainha</t>
        </is>
      </c>
      <c r="D34" s="33" t="inlineStr">
        <is>
          <t>A2</t>
        </is>
      </c>
      <c r="E34" s="33" t="inlineStr">
        <is>
          <t>Postura em lotes</t>
        </is>
      </c>
      <c r="F34" s="33" t="inlineStr">
        <is>
          <t>Q1 e B0</t>
        </is>
      </c>
      <c r="G34" s="33" t="n"/>
      <c r="H34" s="33" t="inlineStr">
        <is>
          <t>Até 3 ovos por ciclo</t>
        </is>
      </c>
      <c r="I34" s="34" t="n">
        <v>450</v>
      </c>
      <c r="J34" s="33" t="inlineStr">
        <is>
          <t>QueenTree</t>
        </is>
      </c>
      <c r="K34" s="33" t="inlineStr">
        <is>
          <t>Implementado; B0 é requisito novo</t>
        </is>
      </c>
    </row>
    <row r="35" ht="15" customHeight="1" s="23">
      <c r="A35" s="33" t="inlineStr">
        <is>
          <t>Q3</t>
        </is>
      </c>
      <c r="B35" s="33" t="inlineStr">
        <is>
          <t>Rainha</t>
        </is>
      </c>
      <c r="C35" s="33" t="inlineStr">
        <is>
          <t>Rainha</t>
        </is>
      </c>
      <c r="D35" s="33" t="inlineStr">
        <is>
          <t>A4</t>
        </is>
      </c>
      <c r="E35" s="33" t="inlineStr">
        <is>
          <t>Postura em campo</t>
        </is>
      </c>
      <c r="F35" s="33" t="inlineStr">
        <is>
          <t>Q2, B3 e Q+1 Nv 10</t>
        </is>
      </c>
      <c r="G35" s="33" t="n"/>
      <c r="H35" s="33" t="inlineStr">
        <is>
          <t>Põe ovos também nos trabalhos Coletar e Nutrientes</t>
        </is>
      </c>
      <c r="I35" s="34" t="n">
        <v>2400</v>
      </c>
      <c r="J35" s="33" t="inlineStr">
        <is>
          <t>Proposta 39</t>
        </is>
      </c>
      <c r="K35" s="33" t="inlineStr">
        <is>
          <t>Novo</t>
        </is>
      </c>
    </row>
    <row r="36" ht="15" customHeight="1" s="23">
      <c r="A36" s="33" t="inlineStr">
        <is>
          <t>O0</t>
        </is>
      </c>
      <c r="B36" s="33" t="inlineStr">
        <is>
          <t>Rainha</t>
        </is>
      </c>
      <c r="C36" s="33" t="inlineStr">
        <is>
          <t>Comum</t>
        </is>
      </c>
      <c r="D36" s="33" t="inlineStr">
        <is>
          <t>Centro</t>
        </is>
      </c>
      <c r="E36" s="33" t="inlineStr">
        <is>
          <t>Operária comum</t>
        </is>
      </c>
      <c r="F36" s="33" t="inlineStr">
        <is>
          <t>—</t>
        </is>
      </c>
      <c r="G36" s="33" t="n"/>
      <c r="H36" s="33" t="inlineStr">
        <is>
          <t>Seção 23</t>
        </is>
      </c>
      <c r="I36" s="34" t="n">
        <v>0</v>
      </c>
      <c r="J36" s="33" t="inlineStr">
        <is>
          <t>QueenTree</t>
        </is>
      </c>
      <c r="K36" s="33" t="inlineStr">
        <is>
          <t>Inicial</t>
        </is>
      </c>
    </row>
    <row r="37" ht="15" customHeight="1" s="23">
      <c r="A37" s="33" t="inlineStr">
        <is>
          <t>O1</t>
        </is>
      </c>
      <c r="B37" s="33" t="inlineStr">
        <is>
          <t>Rainha</t>
        </is>
      </c>
      <c r="C37" s="33" t="inlineStr">
        <is>
          <t>Comum</t>
        </is>
      </c>
      <c r="D37" s="33" t="inlineStr">
        <is>
          <t>A1</t>
        </is>
      </c>
      <c r="E37" s="33" t="inlineStr">
        <is>
          <t>Carga ampliada</t>
        </is>
      </c>
      <c r="F37" s="33" t="inlineStr">
        <is>
          <t>O0</t>
        </is>
      </c>
      <c r="G37" s="33" t="n"/>
      <c r="H37" s="33" t="inlineStr">
        <is>
          <t>2 → 3 UM</t>
        </is>
      </c>
      <c r="I37" s="34" t="n">
        <v>100</v>
      </c>
      <c r="J37" s="33" t="inlineStr">
        <is>
          <t>QueenTree</t>
        </is>
      </c>
      <c r="K37" s="33" t="inlineStr">
        <is>
          <t>Implementado</t>
        </is>
      </c>
    </row>
    <row r="38" ht="15" customHeight="1" s="23">
      <c r="A38" s="33" t="inlineStr">
        <is>
          <t>O2</t>
        </is>
      </c>
      <c r="B38" s="33" t="inlineStr">
        <is>
          <t>Rainha</t>
        </is>
      </c>
      <c r="C38" s="33" t="inlineStr">
        <is>
          <t>Comum</t>
        </is>
      </c>
      <c r="D38" s="33" t="inlineStr">
        <is>
          <t>A1</t>
        </is>
      </c>
      <c r="E38" s="33" t="inlineStr">
        <is>
          <t>Deslocamento rápido</t>
        </is>
      </c>
      <c r="F38" s="33" t="inlineStr">
        <is>
          <t>O0</t>
        </is>
      </c>
      <c r="G38" s="33" t="n"/>
      <c r="H38" s="33" t="inlineStr">
        <is>
          <t>24 → 30 células/s</t>
        </is>
      </c>
      <c r="I38" s="34" t="n">
        <v>100</v>
      </c>
      <c r="J38" s="33" t="inlineStr">
        <is>
          <t>QueenTree</t>
        </is>
      </c>
      <c r="K38" s="33" t="inlineStr">
        <is>
          <t>Implementado</t>
        </is>
      </c>
    </row>
    <row r="39" ht="15" customHeight="1" s="23">
      <c r="A39" s="33" t="inlineStr">
        <is>
          <t>O3</t>
        </is>
      </c>
      <c r="B39" s="33" t="inlineStr">
        <is>
          <t>Rainha</t>
        </is>
      </c>
      <c r="C39" s="33" t="inlineStr">
        <is>
          <t>Comum</t>
        </is>
      </c>
      <c r="D39" s="33" t="inlineStr">
        <is>
          <t>A1</t>
        </is>
      </c>
      <c r="E39" s="33" t="inlineStr">
        <is>
          <t>Retirada de companheiras</t>
        </is>
      </c>
      <c r="F39" s="33" t="inlineStr">
        <is>
          <t>O0</t>
        </is>
      </c>
      <c r="G39" s="33" t="n"/>
      <c r="H39" s="33" t="inlineStr">
        <is>
          <t>Seção 23</t>
        </is>
      </c>
      <c r="I39" s="34" t="n">
        <v>240</v>
      </c>
      <c r="J39" s="33" t="inlineStr">
        <is>
          <t>QueenTree</t>
        </is>
      </c>
      <c r="K39" s="33" t="inlineStr">
        <is>
          <t>EM BREVE</t>
        </is>
      </c>
    </row>
    <row r="40" ht="15" customHeight="1" s="23">
      <c r="A40" s="33" t="inlineStr">
        <is>
          <t>O4</t>
        </is>
      </c>
      <c r="B40" s="33" t="inlineStr">
        <is>
          <t>Rainha</t>
        </is>
      </c>
      <c r="C40" s="33" t="inlineStr">
        <is>
          <t>Comum</t>
        </is>
      </c>
      <c r="D40" s="33" t="inlineStr">
        <is>
          <t>A4</t>
        </is>
      </c>
      <c r="E40" s="33" t="inlineStr">
        <is>
          <t>Operária versátil</t>
        </is>
      </c>
      <c r="F40" s="33" t="inlineStr">
        <is>
          <t>O+1 Nv 10 e O+3 Nv 10</t>
        </is>
      </c>
      <c r="G40" s="33" t="inlineStr">
        <is>
          <t>50 adultas</t>
        </is>
      </c>
      <c r="H40" s="33" t="inlineStr">
        <is>
          <t>Sem especialista por perto, a comum faz a tarefa com metade do bônus</t>
        </is>
      </c>
      <c r="I40" s="34" t="n">
        <v>2000</v>
      </c>
      <c r="J40" s="33" t="inlineStr">
        <is>
          <t>Proposta 39</t>
        </is>
      </c>
      <c r="K40" s="33" t="inlineStr">
        <is>
          <t>Novo</t>
        </is>
      </c>
    </row>
    <row r="41" ht="15" customHeight="1" s="23">
      <c r="A41" s="33" t="inlineStr">
        <is>
          <t>L0</t>
        </is>
      </c>
      <c r="B41" s="33" t="inlineStr">
        <is>
          <t>Rainha</t>
        </is>
      </c>
      <c r="C41" s="33" t="inlineStr">
        <is>
          <t>Carregadora</t>
        </is>
      </c>
      <c r="D41" s="33" t="inlineStr">
        <is>
          <t>A1</t>
        </is>
      </c>
      <c r="E41" s="33" t="inlineStr">
        <is>
          <t>Carregadora</t>
        </is>
      </c>
      <c r="F41" s="33" t="inlineStr">
        <is>
          <t>O0</t>
        </is>
      </c>
      <c r="G41" s="33" t="n"/>
      <c r="H41" s="33" t="inlineStr">
        <is>
          <t>Libera a classe</t>
        </is>
      </c>
      <c r="I41" s="34" t="n">
        <v>140</v>
      </c>
      <c r="J41" s="33" t="inlineStr">
        <is>
          <t>QueenTree</t>
        </is>
      </c>
      <c r="K41" s="33" t="inlineStr">
        <is>
          <t>Implementado</t>
        </is>
      </c>
    </row>
    <row r="42" ht="15" customHeight="1" s="23">
      <c r="A42" s="33" t="inlineStr">
        <is>
          <t>L1</t>
        </is>
      </c>
      <c r="B42" s="33" t="inlineStr">
        <is>
          <t>Rainha</t>
        </is>
      </c>
      <c r="C42" s="33" t="inlineStr">
        <is>
          <t>Carregadora</t>
        </is>
      </c>
      <c r="D42" s="33" t="inlineStr">
        <is>
          <t>A2</t>
        </is>
      </c>
      <c r="E42" s="33" t="inlineStr">
        <is>
          <t>Cargas maiores</t>
        </is>
      </c>
      <c r="F42" s="33" t="inlineStr">
        <is>
          <t>L0</t>
        </is>
      </c>
      <c r="G42" s="33" t="n"/>
      <c r="H42" s="33" t="inlineStr">
        <is>
          <t>4 → 6 UM</t>
        </is>
      </c>
      <c r="I42" s="34" t="n">
        <v>160</v>
      </c>
      <c r="J42" s="33" t="inlineStr">
        <is>
          <t>QueenTree</t>
        </is>
      </c>
      <c r="K42" s="33" t="inlineStr">
        <is>
          <t>Implementado</t>
        </is>
      </c>
    </row>
    <row r="43" ht="15" customHeight="1" s="23">
      <c r="A43" s="33" t="inlineStr">
        <is>
          <t>L2</t>
        </is>
      </c>
      <c r="B43" s="33" t="inlineStr">
        <is>
          <t>Rainha</t>
        </is>
      </c>
      <c r="C43" s="33" t="inlineStr">
        <is>
          <t>Carregadora</t>
        </is>
      </c>
      <c r="D43" s="33" t="inlineStr">
        <is>
          <t>A3</t>
        </is>
      </c>
      <c r="E43" s="33" t="inlineStr">
        <is>
          <t>Transporte cooperativo</t>
        </is>
      </c>
      <c r="F43" s="33" t="inlineStr">
        <is>
          <t>L1 e D1</t>
        </is>
      </c>
      <c r="G43" s="33" t="n"/>
      <c r="H43" s="33" t="inlineStr">
        <is>
          <t>Seção 24</t>
        </is>
      </c>
      <c r="I43" s="34" t="n">
        <v>300</v>
      </c>
      <c r="J43" s="33" t="inlineStr">
        <is>
          <t>QueenTree</t>
        </is>
      </c>
      <c r="K43" s="33" t="inlineStr">
        <is>
          <t>EM BREVE; D1 é requisito novo</t>
        </is>
      </c>
    </row>
    <row r="44" ht="15" customHeight="1" s="23">
      <c r="A44" s="33" t="inlineStr">
        <is>
          <t>L3</t>
        </is>
      </c>
      <c r="B44" s="33" t="inlineStr">
        <is>
          <t>Rainha</t>
        </is>
      </c>
      <c r="C44" s="33" t="inlineStr">
        <is>
          <t>Carregadora</t>
        </is>
      </c>
      <c r="D44" s="33" t="inlineStr">
        <is>
          <t>A2</t>
        </is>
      </c>
      <c r="E44" s="33" t="inlineStr">
        <is>
          <t>Velocidade das carregadoras</t>
        </is>
      </c>
      <c r="F44" s="33" t="inlineStr">
        <is>
          <t>L0</t>
        </is>
      </c>
      <c r="G44" s="33" t="n"/>
      <c r="H44" s="33" t="inlineStr">
        <is>
          <t>28 → 35 células/s</t>
        </is>
      </c>
      <c r="I44" s="34" t="n">
        <v>200</v>
      </c>
      <c r="J44" s="33" t="inlineStr">
        <is>
          <t>QueenTree</t>
        </is>
      </c>
      <c r="K44" s="33" t="inlineStr">
        <is>
          <t>Implementado</t>
        </is>
      </c>
    </row>
    <row r="45" ht="15" customHeight="1" s="23">
      <c r="A45" s="33" t="inlineStr">
        <is>
          <t>L4</t>
        </is>
      </c>
      <c r="B45" s="33" t="inlineStr">
        <is>
          <t>Rainha</t>
        </is>
      </c>
      <c r="C45" s="33" t="inlineStr">
        <is>
          <t>Carregadora</t>
        </is>
      </c>
      <c r="D45" s="33" t="inlineStr">
        <is>
          <t>A4</t>
        </is>
      </c>
      <c r="E45" s="33" t="inlineStr">
        <is>
          <t>Comboio</t>
        </is>
      </c>
      <c r="F45" s="33" t="inlineStr">
        <is>
          <t>L2 e D2</t>
        </is>
      </c>
      <c r="G45" s="33" t="n"/>
      <c r="H45" s="33" t="inlineStr">
        <is>
          <t>Grupos levam peça grande inteira ao depósito</t>
        </is>
      </c>
      <c r="I45" s="34" t="n">
        <v>1800</v>
      </c>
      <c r="J45" s="33" t="inlineStr">
        <is>
          <t>Proposta 39</t>
        </is>
      </c>
      <c r="K45" s="33" t="inlineStr">
        <is>
          <t>Novo</t>
        </is>
      </c>
    </row>
    <row r="46" ht="15" customHeight="1" s="23">
      <c r="A46" s="33" t="inlineStr">
        <is>
          <t>F0</t>
        </is>
      </c>
      <c r="B46" s="33" t="inlineStr">
        <is>
          <t>Rainha</t>
        </is>
      </c>
      <c r="C46" s="33" t="inlineStr">
        <is>
          <t>Cortadeira</t>
        </is>
      </c>
      <c r="D46" s="33" t="inlineStr">
        <is>
          <t>A1</t>
        </is>
      </c>
      <c r="E46" s="33" t="inlineStr">
        <is>
          <t>Cortadeira</t>
        </is>
      </c>
      <c r="F46" s="33" t="inlineStr">
        <is>
          <t>O0</t>
        </is>
      </c>
      <c r="G46" s="33" t="n"/>
      <c r="H46" s="33" t="inlineStr">
        <is>
          <t>Libera a classe</t>
        </is>
      </c>
      <c r="I46" s="34" t="n">
        <v>160</v>
      </c>
      <c r="J46" s="33" t="inlineStr">
        <is>
          <t>QueenTree</t>
        </is>
      </c>
      <c r="K46" s="33" t="inlineStr">
        <is>
          <t>Implementado</t>
        </is>
      </c>
    </row>
    <row r="47" ht="15" customHeight="1" s="23">
      <c r="A47" s="33" t="inlineStr">
        <is>
          <t>F1</t>
        </is>
      </c>
      <c r="B47" s="33" t="inlineStr">
        <is>
          <t>Rainha</t>
        </is>
      </c>
      <c r="C47" s="33" t="inlineStr">
        <is>
          <t>Cortadeira</t>
        </is>
      </c>
      <c r="D47" s="33" t="inlineStr">
        <is>
          <t>A2</t>
        </is>
      </c>
      <c r="E47" s="33" t="inlineStr">
        <is>
          <t>Cortes maiores</t>
        </is>
      </c>
      <c r="F47" s="33" t="inlineStr">
        <is>
          <t>F0</t>
        </is>
      </c>
      <c r="G47" s="33" t="n"/>
      <c r="H47" s="33" t="inlineStr">
        <is>
          <t>Seção 24</t>
        </is>
      </c>
      <c r="I47" s="34" t="n">
        <v>220</v>
      </c>
      <c r="J47" s="33" t="inlineStr">
        <is>
          <t>QueenTree</t>
        </is>
      </c>
      <c r="K47" s="33" t="inlineStr">
        <is>
          <t>Implementado</t>
        </is>
      </c>
    </row>
    <row r="48" ht="15" customHeight="1" s="23">
      <c r="A48" s="33" t="inlineStr">
        <is>
          <t>F2</t>
        </is>
      </c>
      <c r="B48" s="33" t="inlineStr">
        <is>
          <t>Rainha</t>
        </is>
      </c>
      <c r="C48" s="33" t="inlineStr">
        <is>
          <t>Cortadeira</t>
        </is>
      </c>
      <c r="D48" s="33" t="inlineStr">
        <is>
          <t>A3</t>
        </is>
      </c>
      <c r="E48" s="33" t="inlineStr">
        <is>
          <t>Poda seletiva</t>
        </is>
      </c>
      <c r="F48" s="33" t="inlineStr">
        <is>
          <t>F1 e X+1 Nv 5</t>
        </is>
      </c>
      <c r="G48" s="33" t="n"/>
      <c r="H48" s="33" t="inlineStr">
        <is>
          <t>Planta cortada por cortadeira rebrota 50% mais rápido</t>
        </is>
      </c>
      <c r="I48" s="34" t="n">
        <v>600</v>
      </c>
      <c r="J48" s="33" t="inlineStr">
        <is>
          <t>Proposta 39</t>
        </is>
      </c>
      <c r="K48" s="33" t="inlineStr">
        <is>
          <t>Novo</t>
        </is>
      </c>
    </row>
    <row r="49" ht="15" customHeight="1" s="23">
      <c r="A49" s="33" t="inlineStr">
        <is>
          <t>E0</t>
        </is>
      </c>
      <c r="B49" s="33" t="inlineStr">
        <is>
          <t>Rainha</t>
        </is>
      </c>
      <c r="C49" s="33" t="inlineStr">
        <is>
          <t>Escavadora</t>
        </is>
      </c>
      <c r="D49" s="33" t="inlineStr">
        <is>
          <t>A1</t>
        </is>
      </c>
      <c r="E49" s="33" t="inlineStr">
        <is>
          <t>Escavadora</t>
        </is>
      </c>
      <c r="F49" s="33" t="inlineStr">
        <is>
          <t>O0</t>
        </is>
      </c>
      <c r="G49" s="33" t="n"/>
      <c r="H49" s="33" t="inlineStr">
        <is>
          <t>Libera a classe</t>
        </is>
      </c>
      <c r="I49" s="34" t="n">
        <v>180</v>
      </c>
      <c r="J49" s="33" t="inlineStr">
        <is>
          <t>QueenTree</t>
        </is>
      </c>
      <c r="K49" s="33" t="inlineStr">
        <is>
          <t>Implementado</t>
        </is>
      </c>
    </row>
    <row r="50" ht="15" customHeight="1" s="23">
      <c r="A50" s="33" t="inlineStr">
        <is>
          <t>E1</t>
        </is>
      </c>
      <c r="B50" s="33" t="inlineStr">
        <is>
          <t>Rainha</t>
        </is>
      </c>
      <c r="C50" s="33" t="inlineStr">
        <is>
          <t>Escavadora</t>
        </is>
      </c>
      <c r="D50" s="33" t="inlineStr">
        <is>
          <t>A2</t>
        </is>
      </c>
      <c r="E50" s="33" t="inlineStr">
        <is>
          <t>Remoção ampliada</t>
        </is>
      </c>
      <c r="F50" s="33" t="inlineStr">
        <is>
          <t>E0</t>
        </is>
      </c>
      <c r="G50" s="33" t="n"/>
      <c r="H50" s="33" t="inlineStr">
        <is>
          <t>32 → 48 células/s</t>
        </is>
      </c>
      <c r="I50" s="34" t="n">
        <v>200</v>
      </c>
      <c r="J50" s="33" t="inlineStr">
        <is>
          <t>QueenTree</t>
        </is>
      </c>
      <c r="K50" s="33" t="inlineStr">
        <is>
          <t>Implementado</t>
        </is>
      </c>
    </row>
    <row r="51" ht="15" customHeight="1" s="23">
      <c r="A51" s="33" t="inlineStr">
        <is>
          <t>E2</t>
        </is>
      </c>
      <c r="B51" s="33" t="inlineStr">
        <is>
          <t>Rainha</t>
        </is>
      </c>
      <c r="C51" s="33" t="inlineStr">
        <is>
          <t>Escavadora</t>
        </is>
      </c>
      <c r="D51" s="33" t="inlineStr">
        <is>
          <t>A3</t>
        </is>
      </c>
      <c r="E51" s="33" t="inlineStr">
        <is>
          <t>Quebra de rocha</t>
        </is>
      </c>
      <c r="F51" s="33" t="inlineStr">
        <is>
          <t>E1 e T+2 Nv 3</t>
        </is>
      </c>
      <c r="G51" s="33" t="n"/>
      <c r="H51" s="33" t="inlineStr">
        <is>
          <t>Quebra rocha</t>
        </is>
      </c>
      <c r="I51" s="34" t="n">
        <v>400</v>
      </c>
      <c r="J51" s="33" t="inlineStr">
        <is>
          <t>QueenTree</t>
        </is>
      </c>
      <c r="K51" s="33" t="inlineStr">
        <is>
          <t>Implementado; T+2 é requisito novo</t>
        </is>
      </c>
    </row>
    <row r="52" ht="15" customHeight="1" s="23">
      <c r="A52" s="33" t="inlineStr">
        <is>
          <t>E3</t>
        </is>
      </c>
      <c r="B52" s="33" t="inlineStr">
        <is>
          <t>Rainha</t>
        </is>
      </c>
      <c r="C52" s="33" t="inlineStr">
        <is>
          <t>Escavadora</t>
        </is>
      </c>
      <c r="D52" s="33" t="inlineStr">
        <is>
          <t>A4</t>
        </is>
      </c>
      <c r="E52" s="33" t="inlineStr">
        <is>
          <t>Frente larga</t>
        </is>
      </c>
      <c r="F52" s="33" t="inlineStr">
        <is>
          <t>E+1 Nv 10 e T2</t>
        </is>
      </c>
      <c r="G52" s="33" t="n"/>
      <c r="H52" s="33" t="inlineStr">
        <is>
          <t>Tira 2 células vizinhas por carga</t>
        </is>
      </c>
      <c r="I52" s="34" t="n">
        <v>1800</v>
      </c>
      <c r="J52" s="33" t="inlineStr">
        <is>
          <t>Proposta 39</t>
        </is>
      </c>
      <c r="K52" s="33" t="inlineStr">
        <is>
          <t>Novo</t>
        </is>
      </c>
    </row>
    <row r="53" ht="15" customHeight="1" s="23">
      <c r="A53" s="33" t="inlineStr">
        <is>
          <t>J0</t>
        </is>
      </c>
      <c r="B53" s="33" t="inlineStr">
        <is>
          <t>Rainha</t>
        </is>
      </c>
      <c r="C53" s="33" t="inlineStr">
        <is>
          <t>Jardineira</t>
        </is>
      </c>
      <c r="D53" s="33" t="inlineStr">
        <is>
          <t>A1</t>
        </is>
      </c>
      <c r="E53" s="33" t="inlineStr">
        <is>
          <t>Jardineira</t>
        </is>
      </c>
      <c r="F53" s="33" t="inlineStr">
        <is>
          <t>O0 e C0</t>
        </is>
      </c>
      <c r="G53" s="33" t="n"/>
      <c r="H53" s="33" t="inlineStr">
        <is>
          <t>Libera a classe</t>
        </is>
      </c>
      <c r="I53" s="34" t="n">
        <v>180</v>
      </c>
      <c r="J53" s="33" t="inlineStr">
        <is>
          <t>QueenTree</t>
        </is>
      </c>
      <c r="K53" s="33" t="inlineStr">
        <is>
          <t>Implementado; C0 é requisito novo</t>
        </is>
      </c>
    </row>
    <row r="54" ht="15" customHeight="1" s="23">
      <c r="A54" s="33" t="inlineStr">
        <is>
          <t>J1</t>
        </is>
      </c>
      <c r="B54" s="33" t="inlineStr">
        <is>
          <t>Rainha</t>
        </is>
      </c>
      <c r="C54" s="33" t="inlineStr">
        <is>
          <t>Jardineira</t>
        </is>
      </c>
      <c r="D54" s="33" t="inlineStr">
        <is>
          <t>A2</t>
        </is>
      </c>
      <c r="E54" s="33" t="inlineStr">
        <is>
          <t>Produção otimizada de fungo</t>
        </is>
      </c>
      <c r="F54" s="33" t="inlineStr">
        <is>
          <t>J0 e C1</t>
        </is>
      </c>
      <c r="G54" s="33" t="n"/>
      <c r="H54" s="33" t="inlineStr">
        <is>
          <t>Crescimento ×1,3 na área atendida</t>
        </is>
      </c>
      <c r="I54" s="34" t="n">
        <v>240</v>
      </c>
      <c r="J54" s="33" t="inlineStr">
        <is>
          <t>QueenTree</t>
        </is>
      </c>
      <c r="K54" s="33" t="inlineStr">
        <is>
          <t>Implementado; C1 é requisito novo</t>
        </is>
      </c>
    </row>
    <row r="55" ht="15" customHeight="1" s="23">
      <c r="A55" s="33" t="inlineStr">
        <is>
          <t>J2</t>
        </is>
      </c>
      <c r="B55" s="33" t="inlineStr">
        <is>
          <t>Rainha</t>
        </is>
      </c>
      <c r="C55" s="33" t="inlineStr">
        <is>
          <t>Jardineira</t>
        </is>
      </c>
      <c r="D55" s="33" t="inlineStr">
        <is>
          <t>A3</t>
        </is>
      </c>
      <c r="E55" s="33" t="inlineStr">
        <is>
          <t>Transplante de fungo</t>
        </is>
      </c>
      <c r="F55" s="33" t="inlineStr">
        <is>
          <t>J1</t>
        </is>
      </c>
      <c r="G55" s="33" t="n"/>
      <c r="H55" s="33" t="inlineStr">
        <is>
          <t>Seção 26</t>
        </is>
      </c>
      <c r="I55" s="34" t="n">
        <v>300</v>
      </c>
      <c r="J55" s="33" t="inlineStr">
        <is>
          <t>QueenTree</t>
        </is>
      </c>
      <c r="K55" s="33" t="inlineStr">
        <is>
          <t>EM BREVE</t>
        </is>
      </c>
    </row>
    <row r="56" ht="15" customHeight="1" s="23">
      <c r="A56" s="33" t="inlineStr">
        <is>
          <t>J3</t>
        </is>
      </c>
      <c r="B56" s="33" t="inlineStr">
        <is>
          <t>Rainha</t>
        </is>
      </c>
      <c r="C56" s="33" t="inlineStr">
        <is>
          <t>Jardineira</t>
        </is>
      </c>
      <c r="D56" s="33" t="inlineStr">
        <is>
          <t>A4</t>
        </is>
      </c>
      <c r="E56" s="33" t="inlineStr">
        <is>
          <t>Simbiose</t>
        </is>
      </c>
      <c r="F56" s="33" t="inlineStr">
        <is>
          <t>J+1 Nv 25 e R1</t>
        </is>
      </c>
      <c r="G56" s="33" t="n"/>
      <c r="H56" s="33" t="inlineStr">
        <is>
          <t>Canteiro atendido não gera resíduo de fungo velho</t>
        </is>
      </c>
      <c r="I56" s="34" t="n">
        <v>2200</v>
      </c>
      <c r="J56" s="33" t="inlineStr">
        <is>
          <t>Proposta 39</t>
        </is>
      </c>
      <c r="K56" s="33" t="inlineStr">
        <is>
          <t>Novo</t>
        </is>
      </c>
    </row>
    <row r="57" ht="15" customHeight="1" s="23">
      <c r="A57" s="33" t="inlineStr">
        <is>
          <t>N0</t>
        </is>
      </c>
      <c r="B57" s="33" t="inlineStr">
        <is>
          <t>Rainha</t>
        </is>
      </c>
      <c r="C57" s="33" t="inlineStr">
        <is>
          <t>Cuidadora</t>
        </is>
      </c>
      <c r="D57" s="33" t="inlineStr">
        <is>
          <t>A1</t>
        </is>
      </c>
      <c r="E57" s="33" t="inlineStr">
        <is>
          <t>Cuidadora</t>
        </is>
      </c>
      <c r="F57" s="33" t="inlineStr">
        <is>
          <t>O0 e B0</t>
        </is>
      </c>
      <c r="G57" s="33" t="n"/>
      <c r="H57" s="33" t="inlineStr">
        <is>
          <t>Libera a classe</t>
        </is>
      </c>
      <c r="I57" s="34" t="n">
        <v>200</v>
      </c>
      <c r="J57" s="33" t="inlineStr">
        <is>
          <t>QueenTree</t>
        </is>
      </c>
      <c r="K57" s="33" t="inlineStr">
        <is>
          <t>Implementado; B0 é requisito novo</t>
        </is>
      </c>
    </row>
    <row r="58" ht="15" customHeight="1" s="23">
      <c r="A58" s="33" t="inlineStr">
        <is>
          <t>N1</t>
        </is>
      </c>
      <c r="B58" s="33" t="inlineStr">
        <is>
          <t>Rainha</t>
        </is>
      </c>
      <c r="C58" s="33" t="inlineStr">
        <is>
          <t>Cuidadora</t>
        </is>
      </c>
      <c r="D58" s="33" t="inlineStr">
        <is>
          <t>A2</t>
        </is>
      </c>
      <c r="E58" s="33" t="inlineStr">
        <is>
          <t>Alimentação em lote</t>
        </is>
      </c>
      <c r="F58" s="33" t="inlineStr">
        <is>
          <t>N0</t>
        </is>
      </c>
      <c r="G58" s="33" t="n"/>
      <c r="H58" s="33" t="inlineStr">
        <is>
          <t>4 → 8 crias por viagem</t>
        </is>
      </c>
      <c r="I58" s="34" t="n">
        <v>240</v>
      </c>
      <c r="J58" s="33" t="inlineStr">
        <is>
          <t>QueenTree</t>
        </is>
      </c>
      <c r="K58" s="33" t="inlineStr">
        <is>
          <t>Implementado</t>
        </is>
      </c>
    </row>
    <row r="59" ht="15" customHeight="1" s="23">
      <c r="A59" s="33" t="inlineStr">
        <is>
          <t>N2</t>
        </is>
      </c>
      <c r="B59" s="33" t="inlineStr">
        <is>
          <t>Rainha</t>
        </is>
      </c>
      <c r="C59" s="33" t="inlineStr">
        <is>
          <t>Cuidadora</t>
        </is>
      </c>
      <c r="D59" s="33" t="inlineStr">
        <is>
          <t>A3</t>
        </is>
      </c>
      <c r="E59" s="33" t="inlineStr">
        <is>
          <t>Resgate de crias</t>
        </is>
      </c>
      <c r="F59" s="33" t="inlineStr">
        <is>
          <t>N1</t>
        </is>
      </c>
      <c r="G59" s="33" t="n"/>
      <c r="H59" s="33" t="inlineStr">
        <is>
          <t>Seção 26</t>
        </is>
      </c>
      <c r="I59" s="34" t="n">
        <v>320</v>
      </c>
      <c r="J59" s="33" t="inlineStr">
        <is>
          <t>QueenTree</t>
        </is>
      </c>
      <c r="K59" s="33" t="inlineStr">
        <is>
          <t>EM BREVE</t>
        </is>
      </c>
    </row>
    <row r="60" ht="15" customHeight="1" s="23">
      <c r="A60" s="33" t="inlineStr">
        <is>
          <t>N3</t>
        </is>
      </c>
      <c r="B60" s="33" t="inlineStr">
        <is>
          <t>Rainha</t>
        </is>
      </c>
      <c r="C60" s="33" t="inlineStr">
        <is>
          <t>Cuidadora</t>
        </is>
      </c>
      <c r="D60" s="33" t="inlineStr">
        <is>
          <t>A3</t>
        </is>
      </c>
      <c r="E60" s="33" t="inlineStr">
        <is>
          <t>Ama de leite</t>
        </is>
      </c>
      <c r="F60" s="33" t="inlineStr">
        <is>
          <t>N1 e Q+2 Nv 5</t>
        </is>
      </c>
      <c r="G60" s="33" t="n"/>
      <c r="H60" s="33" t="inlineStr">
        <is>
          <t>Custo da cria −10% (limite total −40% com Q+2)</t>
        </is>
      </c>
      <c r="I60" s="34" t="n">
        <v>700</v>
      </c>
      <c r="J60" s="33" t="inlineStr">
        <is>
          <t>Proposta 39</t>
        </is>
      </c>
      <c r="K60" s="33" t="inlineStr">
        <is>
          <t>Novo</t>
        </is>
      </c>
    </row>
    <row r="61" ht="15" customHeight="1" s="23">
      <c r="A61" s="33" t="inlineStr">
        <is>
          <t>S0</t>
        </is>
      </c>
      <c r="B61" s="33" t="inlineStr">
        <is>
          <t>Rainha</t>
        </is>
      </c>
      <c r="C61" s="33" t="inlineStr">
        <is>
          <t>Soldado</t>
        </is>
      </c>
      <c r="D61" s="33" t="inlineStr">
        <is>
          <t>A2</t>
        </is>
      </c>
      <c r="E61" s="33" t="inlineStr">
        <is>
          <t>Soldado</t>
        </is>
      </c>
      <c r="F61" s="33" t="inlineStr">
        <is>
          <t>O0</t>
        </is>
      </c>
      <c r="G61" s="33" t="inlineStr">
        <is>
          <t>Primeiro ataque vencido</t>
        </is>
      </c>
      <c r="H61" s="33" t="inlineStr">
        <is>
          <t>Libera a classe</t>
        </is>
      </c>
      <c r="I61" s="34" t="n">
        <v>220</v>
      </c>
      <c r="J61" s="33" t="inlineStr">
        <is>
          <t>QueenTree</t>
        </is>
      </c>
      <c r="K61" s="33" t="inlineStr">
        <is>
          <t>Implementado</t>
        </is>
      </c>
    </row>
    <row r="62" ht="15" customHeight="1" s="23">
      <c r="A62" s="33" t="inlineStr">
        <is>
          <t>S1</t>
        </is>
      </c>
      <c r="B62" s="33" t="inlineStr">
        <is>
          <t>Rainha</t>
        </is>
      </c>
      <c r="C62" s="33" t="inlineStr">
        <is>
          <t>Soldado</t>
        </is>
      </c>
      <c r="D62" s="33" t="inlineStr">
        <is>
          <t>A2</t>
        </is>
      </c>
      <c r="E62" s="33" t="inlineStr">
        <is>
          <t>Mandíbulas fortes</t>
        </is>
      </c>
      <c r="F62" s="33" t="inlineStr">
        <is>
          <t>S0</t>
        </is>
      </c>
      <c r="G62" s="33" t="n"/>
      <c r="H62" s="33" t="inlineStr">
        <is>
          <t>Dano 3 → 4,5/s</t>
        </is>
      </c>
      <c r="I62" s="34" t="n">
        <v>220</v>
      </c>
      <c r="J62" s="33" t="inlineStr">
        <is>
          <t>QueenTree</t>
        </is>
      </c>
      <c r="K62" s="33" t="inlineStr">
        <is>
          <t>Implementado</t>
        </is>
      </c>
    </row>
    <row r="63" ht="15" customHeight="1" s="23">
      <c r="A63" s="33" t="inlineStr">
        <is>
          <t>S2</t>
        </is>
      </c>
      <c r="B63" s="33" t="inlineStr">
        <is>
          <t>Rainha</t>
        </is>
      </c>
      <c r="C63" s="33" t="inlineStr">
        <is>
          <t>Soldado</t>
        </is>
      </c>
      <c r="D63" s="33" t="inlineStr">
        <is>
          <t>A2</t>
        </is>
      </c>
      <c r="E63" s="33" t="inlineStr">
        <is>
          <t>Carapaça resistente</t>
        </is>
      </c>
      <c r="F63" s="33" t="inlineStr">
        <is>
          <t>S0</t>
        </is>
      </c>
      <c r="G63" s="33" t="n"/>
      <c r="H63" s="33" t="inlineStr">
        <is>
          <t>Vida 18 → 27</t>
        </is>
      </c>
      <c r="I63" s="34" t="n">
        <v>220</v>
      </c>
      <c r="J63" s="33" t="inlineStr">
        <is>
          <t>QueenTree</t>
        </is>
      </c>
      <c r="K63" s="33" t="inlineStr">
        <is>
          <t>Implementado</t>
        </is>
      </c>
    </row>
    <row r="64" ht="15" customHeight="1" s="23">
      <c r="A64" s="33" t="inlineStr">
        <is>
          <t>S3</t>
        </is>
      </c>
      <c r="B64" s="33" t="inlineStr">
        <is>
          <t>Rainha</t>
        </is>
      </c>
      <c r="C64" s="33" t="inlineStr">
        <is>
          <t>Soldado</t>
        </is>
      </c>
      <c r="D64" s="33" t="inlineStr">
        <is>
          <t>A3</t>
        </is>
      </c>
      <c r="E64" s="33" t="inlineStr">
        <is>
          <t>Contenção</t>
        </is>
      </c>
      <c r="F64" s="33" t="inlineStr">
        <is>
          <t>S1 e S2</t>
        </is>
      </c>
      <c r="G64" s="33" t="n"/>
      <c r="H64" s="33" t="inlineStr">
        <is>
          <t>Seção 27</t>
        </is>
      </c>
      <c r="I64" s="34" t="n">
        <v>500</v>
      </c>
      <c r="J64" s="33" t="inlineStr">
        <is>
          <t>QueenTree</t>
        </is>
      </c>
      <c r="K64" s="33" t="inlineStr">
        <is>
          <t>EM BREVE</t>
        </is>
      </c>
    </row>
    <row r="65" ht="15" customHeight="1" s="23">
      <c r="A65" s="33" t="inlineStr">
        <is>
          <t>S4</t>
        </is>
      </c>
      <c r="B65" s="33" t="inlineStr">
        <is>
          <t>Rainha</t>
        </is>
      </c>
      <c r="C65" s="33" t="inlineStr">
        <is>
          <t>Soldado</t>
        </is>
      </c>
      <c r="D65" s="33" t="inlineStr">
        <is>
          <t>A4</t>
        </is>
      </c>
      <c r="E65" s="33" t="inlineStr">
        <is>
          <t>Guarda real</t>
        </is>
      </c>
      <c r="F65" s="33" t="inlineStr">
        <is>
          <t>S3 e M0</t>
        </is>
      </c>
      <c r="G65" s="33" t="n"/>
      <c r="H65" s="33" t="inlineStr">
        <is>
          <t>No aviso, até 4 soldados cercam a rainha</t>
        </is>
      </c>
      <c r="I65" s="34" t="n">
        <v>1500</v>
      </c>
      <c r="J65" s="33" t="inlineStr">
        <is>
          <t>Proposta 39</t>
        </is>
      </c>
      <c r="K65" s="33" t="inlineStr">
        <is>
          <t>Novo</t>
        </is>
      </c>
    </row>
  </sheetData>
  <autoFilter ref="A1:K65"/>
  <printOptions horizontalCentered="0" verticalCentered="0" headings="0" gridLines="0" gridLinesSet="1"/>
  <pageMargins left="0.75" right="0.75" top="1" bottom="1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V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875" defaultRowHeight="15" zeroHeight="0" outlineLevelRow="0"/>
  <cols>
    <col width="7" customWidth="1" style="22" min="1" max="1"/>
    <col width="11.99" customWidth="1" style="22" min="2" max="3"/>
    <col width="7" customWidth="1" style="22" min="4" max="4"/>
    <col width="24" customWidth="1" style="22" min="5" max="5"/>
    <col width="22.01" customWidth="1" style="22" min="6" max="6"/>
    <col width="34" customWidth="1" style="22" min="7" max="7"/>
    <col width="10.99" customWidth="1" style="22" min="8" max="8"/>
    <col width="11.99" customWidth="1" style="22" min="9" max="9"/>
    <col width="10.99" customWidth="1" style="22" min="10" max="10"/>
    <col width="7" customWidth="1" style="22" min="11" max="11"/>
    <col width="10" customWidth="1" style="22" min="12" max="13"/>
    <col width="10.99" customWidth="1" style="22" min="14" max="14"/>
    <col width="7" customWidth="1" style="22" min="15" max="15"/>
    <col width="10.99" customWidth="1" style="22" min="16" max="17"/>
    <col width="15" customWidth="1" style="22" min="18" max="18"/>
    <col width="14.01" customWidth="1" style="22" min="19" max="20"/>
    <col width="44" customWidth="1" style="22" min="21" max="21"/>
    <col width="30.01" customWidth="1" style="22" min="22" max="22"/>
  </cols>
  <sheetData>
    <row r="1" ht="15" customHeight="1" s="23">
      <c r="A1" s="30" t="inlineStr">
        <is>
          <t>Id</t>
        </is>
      </c>
      <c r="B1" s="30" t="inlineStr">
        <is>
          <t>Aba</t>
        </is>
      </c>
      <c r="C1" s="30" t="inlineStr">
        <is>
          <t>Ramo</t>
        </is>
      </c>
      <c r="D1" s="30" t="inlineStr">
        <is>
          <t>Anel</t>
        </is>
      </c>
      <c r="E1" s="30" t="inlineStr">
        <is>
          <t>Nome</t>
        </is>
      </c>
      <c r="F1" s="30" t="inlineStr">
        <is>
          <t>Requisitos</t>
        </is>
      </c>
      <c r="G1" s="30" t="inlineStr">
        <is>
          <t>Atributo</t>
        </is>
      </c>
      <c r="H1" s="30" t="inlineStr">
        <is>
          <t>Base no jogo</t>
        </is>
      </c>
      <c r="I1" s="30" t="inlineStr">
        <is>
          <t>Unidade</t>
        </is>
      </c>
      <c r="J1" s="30" t="inlineStr">
        <is>
          <t>Efeito por nível</t>
        </is>
      </c>
      <c r="K1" s="30" t="inlineStr">
        <is>
          <t>Modo</t>
        </is>
      </c>
      <c r="L1" s="30" t="inlineStr">
        <is>
          <t>Tipo</t>
        </is>
      </c>
      <c r="M1" s="30" t="inlineStr">
        <is>
          <t>Teto (vazio = ∞)</t>
        </is>
      </c>
      <c r="N1" s="30" t="inlineStr">
        <is>
          <t>Custo base (N)</t>
        </is>
      </c>
      <c r="O1" s="30" t="inlineStr">
        <is>
          <t>r</t>
        </is>
      </c>
      <c r="P1" s="30" t="inlineStr">
        <is>
          <t>Nível de referência</t>
        </is>
      </c>
      <c r="Q1" s="30" t="inlineStr">
        <is>
          <t>Custo do nível 10</t>
        </is>
      </c>
      <c r="R1" s="30" t="inlineStr">
        <is>
          <t>Custo total até o nível de referência</t>
        </is>
      </c>
      <c r="S1" s="30" t="inlineStr">
        <is>
          <t>Marco (multiplicador) no nível de referência</t>
        </is>
      </c>
      <c r="T1" s="30" t="inlineStr">
        <is>
          <t>Valor no nível de referência</t>
        </is>
      </c>
      <c r="U1" s="30" t="inlineStr">
        <is>
          <t>Marco Nv 25</t>
        </is>
      </c>
      <c r="V1" s="30" t="inlineStr">
        <is>
          <t>Sistema existe hoje?</t>
        </is>
      </c>
    </row>
    <row r="2" ht="15" customHeight="1" s="23">
      <c r="A2" s="33" t="inlineStr">
        <is>
          <t>H+1</t>
        </is>
      </c>
      <c r="B2" s="33" t="inlineStr">
        <is>
          <t>Formigueiro</t>
        </is>
      </c>
      <c r="C2" s="33" t="inlineStr">
        <is>
          <t>Centro</t>
        </is>
      </c>
      <c r="D2" s="33" t="inlineStr">
        <is>
          <t>A1</t>
        </is>
      </c>
      <c r="E2" s="33" t="inlineStr">
        <is>
          <t>Câmara real ampliada</t>
        </is>
      </c>
      <c r="F2" s="33" t="inlineStr">
        <is>
          <t>P0</t>
        </is>
      </c>
      <c r="G2" s="33" t="inlineStr">
        <is>
          <t>Células por vaga adulta</t>
        </is>
      </c>
      <c r="H2" s="35" t="n">
        <v>24</v>
      </c>
      <c r="I2" s="33" t="inlineStr">
        <is>
          <t>células</t>
        </is>
      </c>
      <c r="J2" s="36" t="n">
        <v>-0.04</v>
      </c>
      <c r="K2" s="35" t="inlineStr">
        <is>
          <t>%</t>
        </is>
      </c>
      <c r="L2" s="35" t="inlineStr">
        <is>
          <t>Físico</t>
        </is>
      </c>
      <c r="M2" s="35" t="n">
        <v>10</v>
      </c>
      <c r="N2" s="34" t="n">
        <v>60</v>
      </c>
      <c r="O2" s="37">
        <f>IF(L2="Físico",Parametros!$B$2,IF(L2="Economia",Parametros!$B$3,Parametros!$B$4))</f>
        <v/>
      </c>
      <c r="P2" s="37">
        <f>IF(M2="",Parametros!$B$7,M2)</f>
        <v/>
      </c>
      <c r="Q2" s="38">
        <f>IF(AND(M2&lt;&gt;"",M2&lt;10),"",ROUND(N2*O2^9,0))</f>
        <v/>
      </c>
      <c r="R2" s="38">
        <f>ROUND(N2*(O2^P2-1)/(O2-1),0)</f>
        <v/>
      </c>
      <c r="S2" s="39">
        <f>IF(L2="Físico",1,Parametros!$B$6^INT(P2/Parametros!$B$5))</f>
        <v/>
      </c>
      <c r="T2" s="40">
        <f>IF(K2="%",H2*(1+J2*P2*S2),H2+J2*P2)</f>
        <v/>
      </c>
      <c r="U2" s="33" t="n"/>
      <c r="V2" s="33" t="inlineStr">
        <is>
          <t>Sim (CellsPerAdultSlot)</t>
        </is>
      </c>
    </row>
    <row r="3" ht="15" customHeight="1" s="23">
      <c r="A3" s="33" t="inlineStr">
        <is>
          <t>C+1</t>
        </is>
      </c>
      <c r="B3" s="33" t="inlineStr">
        <is>
          <t>Formigueiro</t>
        </is>
      </c>
      <c r="C3" s="33" t="inlineStr">
        <is>
          <t>Cultivo</t>
        </is>
      </c>
      <c r="D3" s="33" t="inlineStr">
        <is>
          <t>A1</t>
        </is>
      </c>
      <c r="E3" s="33" t="inlineStr">
        <is>
          <t>Fungo vigoroso</t>
        </is>
      </c>
      <c r="F3" s="33" t="inlineStr">
        <is>
          <t>C1</t>
        </is>
      </c>
      <c r="G3" s="33" t="inlineStr">
        <is>
          <t>Crescimento do canteiro</t>
        </is>
      </c>
      <c r="H3" s="35" t="n">
        <v>1</v>
      </c>
      <c r="I3" s="33" t="inlineStr">
        <is>
          <t>× base</t>
        </is>
      </c>
      <c r="J3" s="36" t="n">
        <v>0.08</v>
      </c>
      <c r="K3" s="35" t="inlineStr">
        <is>
          <t>%</t>
        </is>
      </c>
      <c r="L3" s="35" t="inlineStr">
        <is>
          <t>Economia</t>
        </is>
      </c>
      <c r="M3" s="35" t="n"/>
      <c r="N3" s="34" t="n">
        <v>40</v>
      </c>
      <c r="O3" s="37">
        <f>IF(L3="Físico",Parametros!$B$2,IF(L3="Economia",Parametros!$B$3,Parametros!$B$4))</f>
        <v/>
      </c>
      <c r="P3" s="37">
        <f>IF(M3="",Parametros!$B$7,M3)</f>
        <v/>
      </c>
      <c r="Q3" s="38">
        <f>IF(AND(M3&lt;&gt;"",M3&lt;10),"",ROUND(N3*O3^9,0))</f>
        <v/>
      </c>
      <c r="R3" s="38">
        <f>ROUND(N3*(O3^P3-1)/(O3-1),0)</f>
        <v/>
      </c>
      <c r="S3" s="39">
        <f>IF(L3="Físico",1,Parametros!$B$6^INT(P3/Parametros!$B$5))</f>
        <v/>
      </c>
      <c r="T3" s="40">
        <f>IF(K3="%",H3*(1+J3*P3*S3),H3+J3*P3)</f>
        <v/>
      </c>
      <c r="U3" s="33" t="inlineStr">
        <is>
          <t>Canteiro novo já brota com 1 nutriente pronto</t>
        </is>
      </c>
      <c r="V3" s="33" t="inlineStr">
        <is>
          <t>Sim (crescimento dos canteiros)</t>
        </is>
      </c>
    </row>
    <row r="4" ht="15" customHeight="1" s="23">
      <c r="A4" s="33" t="inlineStr">
        <is>
          <t>C+2</t>
        </is>
      </c>
      <c r="B4" s="33" t="inlineStr">
        <is>
          <t>Formigueiro</t>
        </is>
      </c>
      <c r="C4" s="33" t="inlineStr">
        <is>
          <t>Cultivo</t>
        </is>
      </c>
      <c r="D4" s="33" t="inlineStr">
        <is>
          <t>A2</t>
        </is>
      </c>
      <c r="E4" s="33" t="inlineStr">
        <is>
          <t>Colheita nutritiva</t>
        </is>
      </c>
      <c r="F4" s="33" t="inlineStr">
        <is>
          <t>C3</t>
        </is>
      </c>
      <c r="G4" s="33" t="inlineStr">
        <is>
          <t>N por nutriente entregue</t>
        </is>
      </c>
      <c r="H4" s="35" t="n">
        <v>1</v>
      </c>
      <c r="I4" s="33" t="inlineStr">
        <is>
          <t>N</t>
        </is>
      </c>
      <c r="J4" s="36" t="n">
        <v>0.05</v>
      </c>
      <c r="K4" s="35" t="inlineStr">
        <is>
          <t>%</t>
        </is>
      </c>
      <c r="L4" s="35" t="inlineStr">
        <is>
          <t>Economia</t>
        </is>
      </c>
      <c r="M4" s="35" t="n"/>
      <c r="N4" s="34" t="n">
        <v>120</v>
      </c>
      <c r="O4" s="37">
        <f>IF(L4="Físico",Parametros!$B$2,IF(L4="Economia",Parametros!$B$3,Parametros!$B$4))</f>
        <v/>
      </c>
      <c r="P4" s="37">
        <f>IF(M4="",Parametros!$B$7,M4)</f>
        <v/>
      </c>
      <c r="Q4" s="38">
        <f>IF(AND(M4&lt;&gt;"",M4&lt;10),"",ROUND(N4*O4^9,0))</f>
        <v/>
      </c>
      <c r="R4" s="38">
        <f>ROUND(N4*(O4^P4-1)/(O4-1),0)</f>
        <v/>
      </c>
      <c r="S4" s="39">
        <f>IF(L4="Físico",1,Parametros!$B$6^INT(P4/Parametros!$B$5))</f>
        <v/>
      </c>
      <c r="T4" s="40">
        <f>IF(K4="%",H4*(1+J4*P4*S4),H4+J4*P4)</f>
        <v/>
      </c>
      <c r="U4" s="33" t="inlineStr">
        <is>
          <t>5% das entregas valem o dobro</t>
        </is>
      </c>
      <c r="V4" s="33" t="inlineStr">
        <is>
          <t>Sim (+1 N por entrega; precisa acumular fração)</t>
        </is>
      </c>
    </row>
    <row r="5" ht="15" customHeight="1" s="23">
      <c r="A5" s="33" t="inlineStr">
        <is>
          <t>C+3</t>
        </is>
      </c>
      <c r="B5" s="33" t="inlineStr">
        <is>
          <t>Formigueiro</t>
        </is>
      </c>
      <c r="C5" s="33" t="inlineStr">
        <is>
          <t>Cultivo</t>
        </is>
      </c>
      <c r="D5" s="33" t="inlineStr">
        <is>
          <t>A2</t>
        </is>
      </c>
      <c r="E5" s="33" t="inlineStr">
        <is>
          <t>Cura rápida</t>
        </is>
      </c>
      <c r="F5" s="33" t="inlineStr">
        <is>
          <t>C+1 Nv 5</t>
        </is>
      </c>
      <c r="G5" s="33" t="inlineStr">
        <is>
          <t>Tempo de cura do nutriente</t>
        </is>
      </c>
      <c r="H5" s="35" t="n">
        <v>30</v>
      </c>
      <c r="I5" s="33" t="inlineStr">
        <is>
          <t>s</t>
        </is>
      </c>
      <c r="J5" s="36" t="n">
        <v>-0.04</v>
      </c>
      <c r="K5" s="35" t="inlineStr">
        <is>
          <t>%</t>
        </is>
      </c>
      <c r="L5" s="35" t="inlineStr">
        <is>
          <t>Físico</t>
        </is>
      </c>
      <c r="M5" s="35" t="n">
        <v>10</v>
      </c>
      <c r="N5" s="34" t="n">
        <v>150</v>
      </c>
      <c r="O5" s="37">
        <f>IF(L5="Físico",Parametros!$B$2,IF(L5="Economia",Parametros!$B$3,Parametros!$B$4))</f>
        <v/>
      </c>
      <c r="P5" s="37">
        <f>IF(M5="",Parametros!$B$7,M5)</f>
        <v/>
      </c>
      <c r="Q5" s="38">
        <f>IF(AND(M5&lt;&gt;"",M5&lt;10),"",ROUND(N5*O5^9,0))</f>
        <v/>
      </c>
      <c r="R5" s="38">
        <f>ROUND(N5*(O5^P5-1)/(O5-1),0)</f>
        <v/>
      </c>
      <c r="S5" s="39">
        <f>IF(L5="Físico",1,Parametros!$B$6^INT(P5/Parametros!$B$5))</f>
        <v/>
      </c>
      <c r="T5" s="40">
        <f>IF(K5="%",H5*(1+J5*P5*S5),H5+J5*P5)</f>
        <v/>
      </c>
      <c r="U5" s="33" t="n"/>
      <c r="V5" s="33" t="inlineStr">
        <is>
          <t>Sim (NutrientCureSeconds)</t>
        </is>
      </c>
    </row>
    <row r="6" ht="15" customHeight="1" s="23">
      <c r="A6" s="33" t="inlineStr">
        <is>
          <t>B+1</t>
        </is>
      </c>
      <c r="B6" s="33" t="inlineStr">
        <is>
          <t>Formigueiro</t>
        </is>
      </c>
      <c r="C6" s="33" t="inlineStr">
        <is>
          <t>Berçário</t>
        </is>
      </c>
      <c r="D6" s="33" t="inlineStr">
        <is>
          <t>A3</t>
        </is>
      </c>
      <c r="E6" s="33" t="inlineStr">
        <is>
          <t>Leitos aquecidos</t>
        </is>
      </c>
      <c r="F6" s="33" t="inlineStr">
        <is>
          <t>B3</t>
        </is>
      </c>
      <c r="G6" s="33" t="inlineStr">
        <is>
          <t>Tempo de larva (14 s) e pupa (12 s)</t>
        </is>
      </c>
      <c r="H6" s="35" t="n">
        <v>14</v>
      </c>
      <c r="I6" s="33" t="inlineStr">
        <is>
          <t>s (larva)</t>
        </is>
      </c>
      <c r="J6" s="36" t="n">
        <v>-0.03</v>
      </c>
      <c r="K6" s="35" t="inlineStr">
        <is>
          <t>%</t>
        </is>
      </c>
      <c r="L6" s="35" t="inlineStr">
        <is>
          <t>Físico</t>
        </is>
      </c>
      <c r="M6" s="35" t="n">
        <v>10</v>
      </c>
      <c r="N6" s="34" t="n">
        <v>250</v>
      </c>
      <c r="O6" s="37">
        <f>IF(L6="Físico",Parametros!$B$2,IF(L6="Economia",Parametros!$B$3,Parametros!$B$4))</f>
        <v/>
      </c>
      <c r="P6" s="37">
        <f>IF(M6="",Parametros!$B$7,M6)</f>
        <v/>
      </c>
      <c r="Q6" s="38">
        <f>IF(AND(M6&lt;&gt;"",M6&lt;10),"",ROUND(N6*O6^9,0))</f>
        <v/>
      </c>
      <c r="R6" s="38">
        <f>ROUND(N6*(O6^P6-1)/(O6-1),0)</f>
        <v/>
      </c>
      <c r="S6" s="39">
        <f>IF(L6="Físico",1,Parametros!$B$6^INT(P6/Parametros!$B$5))</f>
        <v/>
      </c>
      <c r="T6" s="40">
        <f>IF(K6="%",H6*(1+J6*P6*S6),H6+J6*P6)</f>
        <v/>
      </c>
      <c r="U6" s="33" t="n"/>
      <c r="V6" s="33" t="inlineStr">
        <is>
          <t>Sim (LarvaSeconds, PupaSeconds)</t>
        </is>
      </c>
    </row>
    <row r="7" ht="15" customHeight="1" s="23">
      <c r="A7" s="33" t="inlineStr">
        <is>
          <t>B+2</t>
        </is>
      </c>
      <c r="B7" s="33" t="inlineStr">
        <is>
          <t>Formigueiro</t>
        </is>
      </c>
      <c r="C7" s="33" t="inlineStr">
        <is>
          <t>Berçário</t>
        </is>
      </c>
      <c r="D7" s="33" t="inlineStr">
        <is>
          <t>A3</t>
        </is>
      </c>
      <c r="E7" s="33" t="inlineStr">
        <is>
          <t>Vagas extras</t>
        </is>
      </c>
      <c r="F7" s="33" t="inlineStr">
        <is>
          <t>B3 e H+1 Nv 3</t>
        </is>
      </c>
      <c r="G7" s="33" t="inlineStr">
        <is>
          <t>Células por vaga de cria</t>
        </is>
      </c>
      <c r="H7" s="35" t="n">
        <v>16</v>
      </c>
      <c r="I7" s="33" t="inlineStr">
        <is>
          <t>células</t>
        </is>
      </c>
      <c r="J7" s="36" t="n">
        <v>-0.05</v>
      </c>
      <c r="K7" s="35" t="inlineStr">
        <is>
          <t>%</t>
        </is>
      </c>
      <c r="L7" s="35" t="inlineStr">
        <is>
          <t>Físico</t>
        </is>
      </c>
      <c r="M7" s="35" t="n">
        <v>8</v>
      </c>
      <c r="N7" s="34" t="n">
        <v>250</v>
      </c>
      <c r="O7" s="37">
        <f>IF(L7="Físico",Parametros!$B$2,IF(L7="Economia",Parametros!$B$3,Parametros!$B$4))</f>
        <v/>
      </c>
      <c r="P7" s="37">
        <f>IF(M7="",Parametros!$B$7,M7)</f>
        <v/>
      </c>
      <c r="Q7" s="38">
        <f>IF(AND(M7&lt;&gt;"",M7&lt;10),"",ROUND(N7*O7^9,0))</f>
        <v/>
      </c>
      <c r="R7" s="38">
        <f>ROUND(N7*(O7^P7-1)/(O7-1),0)</f>
        <v/>
      </c>
      <c r="S7" s="39">
        <f>IF(L7="Físico",1,Parametros!$B$6^INT(P7/Parametros!$B$5))</f>
        <v/>
      </c>
      <c r="T7" s="40">
        <f>IF(K7="%",H7*(1+J7*P7*S7),H7+J7*P7)</f>
        <v/>
      </c>
      <c r="U7" s="33" t="n"/>
      <c r="V7" s="33" t="inlineStr">
        <is>
          <t>Sim (CellsPerNurserySlot)</t>
        </is>
      </c>
    </row>
    <row r="8" ht="15" customHeight="1" s="23">
      <c r="A8" s="33" t="inlineStr">
        <is>
          <t>D+1</t>
        </is>
      </c>
      <c r="B8" s="33" t="inlineStr">
        <is>
          <t>Formigueiro</t>
        </is>
      </c>
      <c r="C8" s="33" t="inlineStr">
        <is>
          <t>Depósito</t>
        </is>
      </c>
      <c r="D8" s="33" t="inlineStr">
        <is>
          <t>A2</t>
        </is>
      </c>
      <c r="E8" s="33" t="inlineStr">
        <is>
          <t>Empilhamento</t>
        </is>
      </c>
      <c r="F8" s="33" t="inlineStr">
        <is>
          <t>D1</t>
        </is>
      </c>
      <c r="G8" s="33" t="inlineStr">
        <is>
          <t>Itens por célula de depósito</t>
        </is>
      </c>
      <c r="H8" s="35" t="n">
        <v>1</v>
      </c>
      <c r="I8" s="33" t="inlineStr">
        <is>
          <t>itens</t>
        </is>
      </c>
      <c r="J8" s="36" t="n">
        <v>0.25</v>
      </c>
      <c r="K8" s="35" t="inlineStr">
        <is>
          <t>%</t>
        </is>
      </c>
      <c r="L8" s="35" t="inlineStr">
        <is>
          <t>Físico</t>
        </is>
      </c>
      <c r="M8" s="35" t="n">
        <v>8</v>
      </c>
      <c r="N8" s="34" t="n">
        <v>120</v>
      </c>
      <c r="O8" s="37">
        <f>IF(L8="Físico",Parametros!$B$2,IF(L8="Economia",Parametros!$B$3,Parametros!$B$4))</f>
        <v/>
      </c>
      <c r="P8" s="37">
        <f>IF(M8="",Parametros!$B$7,M8)</f>
        <v/>
      </c>
      <c r="Q8" s="38">
        <f>IF(AND(M8&lt;&gt;"",M8&lt;10),"",ROUND(N8*O8^9,0))</f>
        <v/>
      </c>
      <c r="R8" s="38">
        <f>ROUND(N8*(O8^P8-1)/(O8-1),0)</f>
        <v/>
      </c>
      <c r="S8" s="39">
        <f>IF(L8="Físico",1,Parametros!$B$6^INT(P8/Parametros!$B$5))</f>
        <v/>
      </c>
      <c r="T8" s="40">
        <f>IF(K8="%",H8*(1+J8*P8*S8),H8+J8*P8)</f>
        <v/>
      </c>
      <c r="U8" s="33" t="n"/>
      <c r="V8" s="33" t="inlineStr">
        <is>
          <t>Não (hoje 1 item por célula)</t>
        </is>
      </c>
    </row>
    <row r="9" ht="15" customHeight="1" s="23">
      <c r="A9" s="33" t="inlineStr">
        <is>
          <t>D+2</t>
        </is>
      </c>
      <c r="B9" s="33" t="inlineStr">
        <is>
          <t>Formigueiro</t>
        </is>
      </c>
      <c r="C9" s="33" t="inlineStr">
        <is>
          <t>Depósito</t>
        </is>
      </c>
      <c r="D9" s="33" t="inlineStr">
        <is>
          <t>A3</t>
        </is>
      </c>
      <c r="E9" s="33" t="inlineStr">
        <is>
          <t>Conservação</t>
        </is>
      </c>
      <c r="F9" s="33" t="inlineStr">
        <is>
          <t>D1 e R0</t>
        </is>
      </c>
      <c r="G9" s="33" t="inlineStr">
        <is>
          <t>Deterioração no depósito de alimentos</t>
        </is>
      </c>
      <c r="H9" s="35" t="n">
        <v>1</v>
      </c>
      <c r="I9" s="33" t="inlineStr">
        <is>
          <t>× base</t>
        </is>
      </c>
      <c r="J9" s="36" t="n">
        <v>-0.05</v>
      </c>
      <c r="K9" s="35" t="inlineStr">
        <is>
          <t>%</t>
        </is>
      </c>
      <c r="L9" s="35" t="inlineStr">
        <is>
          <t>Físico</t>
        </is>
      </c>
      <c r="M9" s="35" t="n">
        <v>10</v>
      </c>
      <c r="N9" s="34" t="n">
        <v>250</v>
      </c>
      <c r="O9" s="37">
        <f>IF(L9="Físico",Parametros!$B$2,IF(L9="Economia",Parametros!$B$3,Parametros!$B$4))</f>
        <v/>
      </c>
      <c r="P9" s="37">
        <f>IF(M9="",Parametros!$B$7,M9)</f>
        <v/>
      </c>
      <c r="Q9" s="38">
        <f>IF(AND(M9&lt;&gt;"",M9&lt;10),"",ROUND(N9*O9^9,0))</f>
        <v/>
      </c>
      <c r="R9" s="38">
        <f>ROUND(N9*(O9^P9-1)/(O9-1),0)</f>
        <v/>
      </c>
      <c r="S9" s="39">
        <f>IF(L9="Físico",1,Parametros!$B$6^INT(P9/Parametros!$B$5))</f>
        <v/>
      </c>
      <c r="T9" s="40">
        <f>IF(K9="%",H9*(1+J9*P9*S9),H9+J9*P9)</f>
        <v/>
      </c>
      <c r="U9" s="33" t="n"/>
      <c r="V9" s="33" t="inlineStr">
        <is>
          <t>Depende da perecibilidade (seção 09)</t>
        </is>
      </c>
    </row>
    <row r="10" ht="15" customHeight="1" s="23">
      <c r="A10" s="33" t="inlineStr">
        <is>
          <t>G+1</t>
        </is>
      </c>
      <c r="B10" s="33" t="inlineStr">
        <is>
          <t>Formigueiro</t>
        </is>
      </c>
      <c r="C10" s="33" t="inlineStr">
        <is>
          <t>Orvalho</t>
        </is>
      </c>
      <c r="D10" s="33" t="inlineStr">
        <is>
          <t>A2</t>
        </is>
      </c>
      <c r="E10" s="33" t="inlineStr">
        <is>
          <t>Orvalho farto</t>
        </is>
      </c>
      <c r="F10" s="33" t="inlineStr">
        <is>
          <t>G0</t>
        </is>
      </c>
      <c r="G10" s="33" t="inlineStr">
        <is>
          <t>Intervalo da gota</t>
        </is>
      </c>
      <c r="H10" s="35" t="n">
        <v>8</v>
      </c>
      <c r="I10" s="33" t="inlineStr">
        <is>
          <t>s</t>
        </is>
      </c>
      <c r="J10" s="36" t="n">
        <v>-0.05</v>
      </c>
      <c r="K10" s="35" t="inlineStr">
        <is>
          <t>%</t>
        </is>
      </c>
      <c r="L10" s="35" t="inlineStr">
        <is>
          <t>Físico</t>
        </is>
      </c>
      <c r="M10" s="35" t="n">
        <v>10</v>
      </c>
      <c r="N10" s="34" t="n">
        <v>90</v>
      </c>
      <c r="O10" s="37">
        <f>IF(L10="Físico",Parametros!$B$2,IF(L10="Economia",Parametros!$B$3,Parametros!$B$4))</f>
        <v/>
      </c>
      <c r="P10" s="37">
        <f>IF(M10="",Parametros!$B$7,M10)</f>
        <v/>
      </c>
      <c r="Q10" s="38">
        <f>IF(AND(M10&lt;&gt;"",M10&lt;10),"",ROUND(N10*O10^9,0))</f>
        <v/>
      </c>
      <c r="R10" s="38">
        <f>ROUND(N10*(O10^P10-1)/(O10-1),0)</f>
        <v/>
      </c>
      <c r="S10" s="39">
        <f>IF(L10="Físico",1,Parametros!$B$6^INT(P10/Parametros!$B$5))</f>
        <v/>
      </c>
      <c r="T10" s="40">
        <f>IF(K10="%",H10*(1+J10*P10*S10),H10+J10*P10)</f>
        <v/>
      </c>
      <c r="U10" s="33" t="n"/>
      <c r="V10" s="33" t="inlineStr">
        <is>
          <t>Sim (DewDropSeconds)</t>
        </is>
      </c>
    </row>
    <row r="11" ht="15" customHeight="1" s="23">
      <c r="A11" s="33" t="inlineStr">
        <is>
          <t>G+2</t>
        </is>
      </c>
      <c r="B11" s="33" t="inlineStr">
        <is>
          <t>Formigueiro</t>
        </is>
      </c>
      <c r="C11" s="33" t="inlineStr">
        <is>
          <t>Orvalho</t>
        </is>
      </c>
      <c r="D11" s="33" t="inlineStr">
        <is>
          <t>A2</t>
        </is>
      </c>
      <c r="E11" s="33" t="inlineStr">
        <is>
          <t>Reservatório</t>
        </is>
      </c>
      <c r="F11" s="33" t="inlineStr">
        <is>
          <t>G1</t>
        </is>
      </c>
      <c r="G11" s="33" t="inlineStr">
        <is>
          <t>Água máxima na sala</t>
        </is>
      </c>
      <c r="H11" s="35" t="n">
        <v>24</v>
      </c>
      <c r="I11" s="33" t="inlineStr">
        <is>
          <t>células</t>
        </is>
      </c>
      <c r="J11" s="41" t="n">
        <v>4</v>
      </c>
      <c r="K11" s="35" t="inlineStr">
        <is>
          <t>abs</t>
        </is>
      </c>
      <c r="L11" s="35" t="inlineStr">
        <is>
          <t>Físico</t>
        </is>
      </c>
      <c r="M11" s="35" t="n">
        <v>10</v>
      </c>
      <c r="N11" s="34" t="n">
        <v>120</v>
      </c>
      <c r="O11" s="37">
        <f>IF(L11="Físico",Parametros!$B$2,IF(L11="Economia",Parametros!$B$3,Parametros!$B$4))</f>
        <v/>
      </c>
      <c r="P11" s="37">
        <f>IF(M11="",Parametros!$B$7,M11)</f>
        <v/>
      </c>
      <c r="Q11" s="38">
        <f>IF(AND(M11&lt;&gt;"",M11&lt;10),"",ROUND(N11*O11^9,0))</f>
        <v/>
      </c>
      <c r="R11" s="38">
        <f>ROUND(N11*(O11^P11-1)/(O11-1),0)</f>
        <v/>
      </c>
      <c r="S11" s="39">
        <f>IF(L11="Físico",1,Parametros!$B$6^INT(P11/Parametros!$B$5))</f>
        <v/>
      </c>
      <c r="T11" s="40">
        <f>IF(K11="%",H11*(1+J11*P11*S11),H11+J11*P11)</f>
        <v/>
      </c>
      <c r="U11" s="33" t="n"/>
      <c r="V11" s="33" t="inlineStr">
        <is>
          <t>Sim (DewMaxRoomWater)</t>
        </is>
      </c>
    </row>
    <row r="12" ht="15" customHeight="1" s="23">
      <c r="A12" s="33" t="inlineStr">
        <is>
          <t>T+1</t>
        </is>
      </c>
      <c r="B12" s="33" t="inlineStr">
        <is>
          <t>Formigueiro</t>
        </is>
      </c>
      <c r="C12" s="33" t="inlineStr">
        <is>
          <t>Obra</t>
        </is>
      </c>
      <c r="D12" s="33" t="inlineStr">
        <is>
          <t>A1</t>
        </is>
      </c>
      <c r="E12" s="33" t="inlineStr">
        <is>
          <t>Obra barata</t>
        </is>
      </c>
      <c r="F12" s="33" t="inlineStr">
        <is>
          <t>T0</t>
        </is>
      </c>
      <c r="G12" s="33" t="inlineStr">
        <is>
          <t>Tarifa de pintura</t>
        </is>
      </c>
      <c r="H12" s="35" t="n">
        <v>1</v>
      </c>
      <c r="I12" s="33" t="inlineStr">
        <is>
          <t>× base</t>
        </is>
      </c>
      <c r="J12" s="36" t="n">
        <v>-0.03</v>
      </c>
      <c r="K12" s="35" t="inlineStr">
        <is>
          <t>%</t>
        </is>
      </c>
      <c r="L12" s="35" t="inlineStr">
        <is>
          <t>Físico</t>
        </is>
      </c>
      <c r="M12" s="35" t="n">
        <v>15</v>
      </c>
      <c r="N12" s="34" t="n">
        <v>50</v>
      </c>
      <c r="O12" s="37">
        <f>IF(L12="Físico",Parametros!$B$2,IF(L12="Economia",Parametros!$B$3,Parametros!$B$4))</f>
        <v/>
      </c>
      <c r="P12" s="37">
        <f>IF(M12="",Parametros!$B$7,M12)</f>
        <v/>
      </c>
      <c r="Q12" s="38">
        <f>IF(AND(M12&lt;&gt;"",M12&lt;10),"",ROUND(N12*O12^9,0))</f>
        <v/>
      </c>
      <c r="R12" s="38">
        <f>ROUND(N12*(O12^P12-1)/(O12-1),0)</f>
        <v/>
      </c>
      <c r="S12" s="39">
        <f>IF(L12="Físico",1,Parametros!$B$6^INT(P12/Parametros!$B$5))</f>
        <v/>
      </c>
      <c r="T12" s="40">
        <f>IF(K12="%",H12*(1+J12*P12*S12),H12+J12*P12)</f>
        <v/>
      </c>
      <c r="U12" s="33" t="n"/>
      <c r="V12" s="33" t="inlineStr">
        <is>
          <t>Depende da tarifa de pintura (seção 03)</t>
        </is>
      </c>
    </row>
    <row r="13" ht="15" customHeight="1" s="23">
      <c r="A13" s="33" t="inlineStr">
        <is>
          <t>T+2</t>
        </is>
      </c>
      <c r="B13" s="33" t="inlineStr">
        <is>
          <t>Formigueiro</t>
        </is>
      </c>
      <c r="C13" s="33" t="inlineStr">
        <is>
          <t>Obra</t>
        </is>
      </c>
      <c r="D13" s="33" t="inlineStr">
        <is>
          <t>A2</t>
        </is>
      </c>
      <c r="E13" s="33" t="inlineStr">
        <is>
          <t>Frentes de obra</t>
        </is>
      </c>
      <c r="F13" s="33" t="inlineStr">
        <is>
          <t>T1 e E0</t>
        </is>
      </c>
      <c r="G13" s="33" t="inlineStr">
        <is>
          <t>Tempo de escavação de todas as classes</t>
        </is>
      </c>
      <c r="H13" s="35" t="n">
        <v>1</v>
      </c>
      <c r="I13" s="33" t="inlineStr">
        <is>
          <t>× base</t>
        </is>
      </c>
      <c r="J13" s="36" t="n">
        <v>-0.03</v>
      </c>
      <c r="K13" s="35" t="inlineStr">
        <is>
          <t>%</t>
        </is>
      </c>
      <c r="L13" s="35" t="inlineStr">
        <is>
          <t>Físico</t>
        </is>
      </c>
      <c r="M13" s="35" t="n">
        <v>10</v>
      </c>
      <c r="N13" s="34" t="n">
        <v>150</v>
      </c>
      <c r="O13" s="37">
        <f>IF(L13="Físico",Parametros!$B$2,IF(L13="Economia",Parametros!$B$3,Parametros!$B$4))</f>
        <v/>
      </c>
      <c r="P13" s="37">
        <f>IF(M13="",Parametros!$B$7,M13)</f>
        <v/>
      </c>
      <c r="Q13" s="38">
        <f>IF(AND(M13&lt;&gt;"",M13&lt;10),"",ROUND(N13*O13^9,0))</f>
        <v/>
      </c>
      <c r="R13" s="38">
        <f>ROUND(N13*(O13^P13-1)/(O13-1),0)</f>
        <v/>
      </c>
      <c r="S13" s="39">
        <f>IF(L13="Físico",1,Parametros!$B$6^INT(P13/Parametros!$B$5))</f>
        <v/>
      </c>
      <c r="T13" s="40">
        <f>IF(K13="%",H13*(1+J13*P13*S13),H13+J13*P13)</f>
        <v/>
      </c>
      <c r="U13" s="33" t="n"/>
      <c r="V13" s="33" t="inlineStr">
        <is>
          <t>Sim (DigTimeMultiplier)</t>
        </is>
      </c>
    </row>
    <row r="14" ht="15" customHeight="1" s="23">
      <c r="A14" s="33" t="inlineStr">
        <is>
          <t>X+1</t>
        </is>
      </c>
      <c r="B14" s="33" t="inlineStr">
        <is>
          <t>Formigueiro</t>
        </is>
      </c>
      <c r="C14" s="33" t="inlineStr">
        <is>
          <t>Exterior</t>
        </is>
      </c>
      <c r="D14" s="33" t="inlineStr">
        <is>
          <t>A2</t>
        </is>
      </c>
      <c r="E14" s="33" t="inlineStr">
        <is>
          <t>Brotação</t>
        </is>
      </c>
      <c r="F14" s="33" t="inlineStr">
        <is>
          <t>X0</t>
        </is>
      </c>
      <c r="G14" s="33" t="inlineStr">
        <is>
          <t>Crescimento das plantas de fora</t>
        </is>
      </c>
      <c r="H14" s="35" t="n">
        <v>1</v>
      </c>
      <c r="I14" s="33" t="inlineStr">
        <is>
          <t>× base</t>
        </is>
      </c>
      <c r="J14" s="36" t="n">
        <v>0.06</v>
      </c>
      <c r="K14" s="35" t="inlineStr">
        <is>
          <t>%</t>
        </is>
      </c>
      <c r="L14" s="35" t="inlineStr">
        <is>
          <t>Economia</t>
        </is>
      </c>
      <c r="M14" s="35" t="n"/>
      <c r="N14" s="34" t="n">
        <v>100</v>
      </c>
      <c r="O14" s="37">
        <f>IF(L14="Físico",Parametros!$B$2,IF(L14="Economia",Parametros!$B$3,Parametros!$B$4))</f>
        <v/>
      </c>
      <c r="P14" s="37">
        <f>IF(M14="",Parametros!$B$7,M14)</f>
        <v/>
      </c>
      <c r="Q14" s="38">
        <f>IF(AND(M14&lt;&gt;"",M14&lt;10),"",ROUND(N14*O14^9,0))</f>
        <v/>
      </c>
      <c r="R14" s="38">
        <f>ROUND(N14*(O14^P14-1)/(O14-1),0)</f>
        <v/>
      </c>
      <c r="S14" s="39">
        <f>IF(L14="Físico",1,Parametros!$B$6^INT(P14/Parametros!$B$5))</f>
        <v/>
      </c>
      <c r="T14" s="40">
        <f>IF(K14="%",H14*(1+J14*P14*S14),H14+J14*P14)</f>
        <v/>
      </c>
      <c r="U14" s="33" t="inlineStr">
        <is>
          <t>Planta nova perto da entrada a cada 60 s</t>
        </is>
      </c>
      <c r="V14" s="33" t="inlineStr">
        <is>
          <t>Sim (vegetação)</t>
        </is>
      </c>
    </row>
    <row r="15" ht="15" customHeight="1" s="23">
      <c r="A15" s="33" t="inlineStr">
        <is>
          <t>X+2</t>
        </is>
      </c>
      <c r="B15" s="33" t="inlineStr">
        <is>
          <t>Formigueiro</t>
        </is>
      </c>
      <c r="C15" s="33" t="inlineStr">
        <is>
          <t>Exterior</t>
        </is>
      </c>
      <c r="D15" s="33" t="inlineStr">
        <is>
          <t>A2</t>
        </is>
      </c>
      <c r="E15" s="33" t="inlineStr">
        <is>
          <t>Feromônio de trilha</t>
        </is>
      </c>
      <c r="F15" s="33" t="inlineStr">
        <is>
          <t>X0</t>
        </is>
      </c>
      <c r="G15" s="33" t="inlineStr">
        <is>
          <t>Velocidade fora do formigueiro</t>
        </is>
      </c>
      <c r="H15" s="35" t="n">
        <v>1</v>
      </c>
      <c r="I15" s="33" t="inlineStr">
        <is>
          <t>× base</t>
        </is>
      </c>
      <c r="J15" s="36" t="n">
        <v>0.03</v>
      </c>
      <c r="K15" s="35" t="inlineStr">
        <is>
          <t>%</t>
        </is>
      </c>
      <c r="L15" s="35" t="inlineStr">
        <is>
          <t>Físico</t>
        </is>
      </c>
      <c r="M15" s="35" t="n">
        <v>10</v>
      </c>
      <c r="N15" s="34" t="n">
        <v>90</v>
      </c>
      <c r="O15" s="37">
        <f>IF(L15="Físico",Parametros!$B$2,IF(L15="Economia",Parametros!$B$3,Parametros!$B$4))</f>
        <v/>
      </c>
      <c r="P15" s="37">
        <f>IF(M15="",Parametros!$B$7,M15)</f>
        <v/>
      </c>
      <c r="Q15" s="38">
        <f>IF(AND(M15&lt;&gt;"",M15&lt;10),"",ROUND(N15*O15^9,0))</f>
        <v/>
      </c>
      <c r="R15" s="38">
        <f>ROUND(N15*(O15^P15-1)/(O15-1),0)</f>
        <v/>
      </c>
      <c r="S15" s="39">
        <f>IF(L15="Físico",1,Parametros!$B$6^INT(P15/Parametros!$B$5))</f>
        <v/>
      </c>
      <c r="T15" s="40">
        <f>IF(K15="%",H15*(1+J15*P15*S15),H15+J15*P15)</f>
        <v/>
      </c>
      <c r="U15" s="33" t="n"/>
      <c r="V15" s="33" t="inlineStr">
        <is>
          <t>Sim (velocidade)</t>
        </is>
      </c>
    </row>
    <row r="16" ht="15" customHeight="1" s="23">
      <c r="A16" s="33" t="inlineStr">
        <is>
          <t>X+3</t>
        </is>
      </c>
      <c r="B16" s="33" t="inlineStr">
        <is>
          <t>Formigueiro</t>
        </is>
      </c>
      <c r="C16" s="33" t="inlineStr">
        <is>
          <t>Exterior</t>
        </is>
      </c>
      <c r="D16" s="33" t="inlineStr">
        <is>
          <t>A2</t>
        </is>
      </c>
      <c r="E16" s="33" t="inlineStr">
        <is>
          <t>Faro</t>
        </is>
      </c>
      <c r="F16" s="33" t="inlineStr">
        <is>
          <t>X0 e F0</t>
        </is>
      </c>
      <c r="G16" s="33" t="inlineStr">
        <is>
          <t>Raio de busca de planta</t>
        </is>
      </c>
      <c r="H16" s="35" t="n">
        <v>1</v>
      </c>
      <c r="I16" s="33" t="inlineStr">
        <is>
          <t>× base</t>
        </is>
      </c>
      <c r="J16" s="36" t="n">
        <v>0.05</v>
      </c>
      <c r="K16" s="35" t="inlineStr">
        <is>
          <t>%</t>
        </is>
      </c>
      <c r="L16" s="35" t="inlineStr">
        <is>
          <t>Físico</t>
        </is>
      </c>
      <c r="M16" s="35" t="n">
        <v>10</v>
      </c>
      <c r="N16" s="34" t="n">
        <v>100</v>
      </c>
      <c r="O16" s="37">
        <f>IF(L16="Físico",Parametros!$B$2,IF(L16="Economia",Parametros!$B$3,Parametros!$B$4))</f>
        <v/>
      </c>
      <c r="P16" s="37">
        <f>IF(M16="",Parametros!$B$7,M16)</f>
        <v/>
      </c>
      <c r="Q16" s="38">
        <f>IF(AND(M16&lt;&gt;"",M16&lt;10),"",ROUND(N16*O16^9,0))</f>
        <v/>
      </c>
      <c r="R16" s="38">
        <f>ROUND(N16*(O16^P16-1)/(O16-1),0)</f>
        <v/>
      </c>
      <c r="S16" s="39">
        <f>IF(L16="Físico",1,Parametros!$B$6^INT(P16/Parametros!$B$5))</f>
        <v/>
      </c>
      <c r="T16" s="40">
        <f>IF(K16="%",H16*(1+J16*P16*S16),H16+J16*P16)</f>
        <v/>
      </c>
      <c r="U16" s="33" t="n"/>
      <c r="V16" s="33" t="inlineStr">
        <is>
          <t>Sim (planta-alvo)</t>
        </is>
      </c>
    </row>
    <row r="17" ht="15" customHeight="1" s="23">
      <c r="A17" s="33" t="inlineStr">
        <is>
          <t>M+1</t>
        </is>
      </c>
      <c r="B17" s="33" t="inlineStr">
        <is>
          <t>Formigueiro</t>
        </is>
      </c>
      <c r="C17" s="33" t="inlineStr">
        <is>
          <t>Defesa</t>
        </is>
      </c>
      <c r="D17" s="33" t="inlineStr">
        <is>
          <t>A2</t>
        </is>
      </c>
      <c r="E17" s="33" t="inlineStr">
        <is>
          <t>Paredes reforçadas</t>
        </is>
      </c>
      <c r="F17" s="33" t="inlineStr">
        <is>
          <t>M0</t>
        </is>
      </c>
      <c r="G17" s="33" t="inlineStr">
        <is>
          <t>Tempo do cupim para destruir parede</t>
        </is>
      </c>
      <c r="H17" s="35" t="n">
        <v>0.8</v>
      </c>
      <c r="I17" s="33" t="inlineStr">
        <is>
          <t>s</t>
        </is>
      </c>
      <c r="J17" s="36" t="n">
        <v>0.1</v>
      </c>
      <c r="K17" s="35" t="inlineStr">
        <is>
          <t>%</t>
        </is>
      </c>
      <c r="L17" s="35" t="inlineStr">
        <is>
          <t>Físico</t>
        </is>
      </c>
      <c r="M17" s="35" t="n">
        <v>10</v>
      </c>
      <c r="N17" s="34" t="n">
        <v>150</v>
      </c>
      <c r="O17" s="37">
        <f>IF(L17="Físico",Parametros!$B$2,IF(L17="Economia",Parametros!$B$3,Parametros!$B$4))</f>
        <v/>
      </c>
      <c r="P17" s="37">
        <f>IF(M17="",Parametros!$B$7,M17)</f>
        <v/>
      </c>
      <c r="Q17" s="38">
        <f>IF(AND(M17&lt;&gt;"",M17&lt;10),"",ROUND(N17*O17^9,0))</f>
        <v/>
      </c>
      <c r="R17" s="38">
        <f>ROUND(N17*(O17^P17-1)/(O17-1),0)</f>
        <v/>
      </c>
      <c r="S17" s="39">
        <f>IF(L17="Físico",1,Parametros!$B$6^INT(P17/Parametros!$B$5))</f>
        <v/>
      </c>
      <c r="T17" s="40">
        <f>IF(K17="%",H17*(1+J17*P17*S17),H17+J17*P17)</f>
        <v/>
      </c>
      <c r="U17" s="33" t="n"/>
      <c r="V17" s="33" t="inlineStr">
        <is>
          <t>Sim (DestroySeconds)</t>
        </is>
      </c>
    </row>
    <row r="18" ht="15" customHeight="1" s="23">
      <c r="A18" s="33" t="inlineStr">
        <is>
          <t>M+2</t>
        </is>
      </c>
      <c r="B18" s="33" t="inlineStr">
        <is>
          <t>Formigueiro</t>
        </is>
      </c>
      <c r="C18" s="33" t="inlineStr">
        <is>
          <t>Defesa</t>
        </is>
      </c>
      <c r="D18" s="33" t="inlineStr">
        <is>
          <t>A2</t>
        </is>
      </c>
      <c r="E18" s="33" t="inlineStr">
        <is>
          <t>Vigias</t>
        </is>
      </c>
      <c r="F18" s="33" t="inlineStr">
        <is>
          <t>M0</t>
        </is>
      </c>
      <c r="G18" s="33" t="inlineStr">
        <is>
          <t>Aviso de ataque</t>
        </is>
      </c>
      <c r="H18" s="35" t="n">
        <v>8</v>
      </c>
      <c r="I18" s="33" t="inlineStr">
        <is>
          <t>s</t>
        </is>
      </c>
      <c r="J18" s="41" t="n">
        <v>1</v>
      </c>
      <c r="K18" s="35" t="inlineStr">
        <is>
          <t>abs</t>
        </is>
      </c>
      <c r="L18" s="35" t="inlineStr">
        <is>
          <t>Físico</t>
        </is>
      </c>
      <c r="M18" s="35" t="n">
        <v>8</v>
      </c>
      <c r="N18" s="34" t="n">
        <v>120</v>
      </c>
      <c r="O18" s="37">
        <f>IF(L18="Físico",Parametros!$B$2,IF(L18="Economia",Parametros!$B$3,Parametros!$B$4))</f>
        <v/>
      </c>
      <c r="P18" s="37">
        <f>IF(M18="",Parametros!$B$7,M18)</f>
        <v/>
      </c>
      <c r="Q18" s="38">
        <f>IF(AND(M18&lt;&gt;"",M18&lt;10),"",ROUND(N18*O18^9,0))</f>
        <v/>
      </c>
      <c r="R18" s="38">
        <f>ROUND(N18*(O18^P18-1)/(O18-1),0)</f>
        <v/>
      </c>
      <c r="S18" s="39">
        <f>IF(L18="Físico",1,Parametros!$B$6^INT(P18/Parametros!$B$5))</f>
        <v/>
      </c>
      <c r="T18" s="40">
        <f>IF(K18="%",H18*(1+J18*P18*S18),H18+J18*P18)</f>
        <v/>
      </c>
      <c r="U18" s="33" t="n"/>
      <c r="V18" s="33" t="inlineStr">
        <is>
          <t>Sim (WarningSeconds)</t>
        </is>
      </c>
    </row>
    <row r="19" ht="15" customHeight="1" s="23">
      <c r="A19" s="33" t="inlineStr">
        <is>
          <t>Q+1</t>
        </is>
      </c>
      <c r="B19" s="33" t="inlineStr">
        <is>
          <t>Rainha</t>
        </is>
      </c>
      <c r="C19" s="33" t="inlineStr">
        <is>
          <t>Rainha</t>
        </is>
      </c>
      <c r="D19" s="33" t="inlineStr">
        <is>
          <t>A2</t>
        </is>
      </c>
      <c r="E19" s="33" t="inlineStr">
        <is>
          <t>Fertilidade</t>
        </is>
      </c>
      <c r="F19" s="33" t="inlineStr">
        <is>
          <t>Q1</t>
        </is>
      </c>
      <c r="G19" s="33" t="inlineStr">
        <is>
          <t>Intervalo de postura (com Q1)</t>
        </is>
      </c>
      <c r="H19" s="35" t="n">
        <v>12</v>
      </c>
      <c r="I19" s="33" t="inlineStr">
        <is>
          <t>s</t>
        </is>
      </c>
      <c r="J19" s="36" t="n">
        <v>-0.03</v>
      </c>
      <c r="K19" s="35" t="inlineStr">
        <is>
          <t>%</t>
        </is>
      </c>
      <c r="L19" s="35" t="inlineStr">
        <is>
          <t>Físico</t>
        </is>
      </c>
      <c r="M19" s="35" t="n">
        <v>10</v>
      </c>
      <c r="N19" s="34" t="n">
        <v>200</v>
      </c>
      <c r="O19" s="37">
        <f>IF(L19="Físico",Parametros!$B$2,IF(L19="Economia",Parametros!$B$3,Parametros!$B$4))</f>
        <v/>
      </c>
      <c r="P19" s="37">
        <f>IF(M19="",Parametros!$B$7,M19)</f>
        <v/>
      </c>
      <c r="Q19" s="38">
        <f>IF(AND(M19&lt;&gt;"",M19&lt;10),"",ROUND(N19*O19^9,0))</f>
        <v/>
      </c>
      <c r="R19" s="38">
        <f>ROUND(N19*(O19^P19-1)/(O19-1),0)</f>
        <v/>
      </c>
      <c r="S19" s="39">
        <f>IF(L19="Físico",1,Parametros!$B$6^INT(P19/Parametros!$B$5))</f>
        <v/>
      </c>
      <c r="T19" s="40">
        <f>IF(K19="%",H19*(1+J19*P19*S19),H19+J19*P19)</f>
        <v/>
      </c>
      <c r="U19" s="33" t="n"/>
      <c r="V19" s="33" t="inlineStr">
        <is>
          <t>Sim (LayIntervalSeconds)</t>
        </is>
      </c>
    </row>
    <row r="20" ht="15" customHeight="1" s="23">
      <c r="A20" s="33" t="inlineStr">
        <is>
          <t>Q+2</t>
        </is>
      </c>
      <c r="B20" s="33" t="inlineStr">
        <is>
          <t>Rainha</t>
        </is>
      </c>
      <c r="C20" s="33" t="inlineStr">
        <is>
          <t>Rainha</t>
        </is>
      </c>
      <c r="D20" s="33" t="inlineStr">
        <is>
          <t>A1</t>
        </is>
      </c>
      <c r="E20" s="33" t="inlineStr">
        <is>
          <t>Geleia real</t>
        </is>
      </c>
      <c r="F20" s="33" t="inlineStr">
        <is>
          <t>Q0 e B0</t>
        </is>
      </c>
      <c r="G20" s="33" t="inlineStr">
        <is>
          <t>Custo alimentar da cria</t>
        </is>
      </c>
      <c r="H20" s="35" t="n">
        <v>1</v>
      </c>
      <c r="I20" s="33" t="inlineStr">
        <is>
          <t>× base</t>
        </is>
      </c>
      <c r="J20" s="36" t="n">
        <v>-0.02</v>
      </c>
      <c r="K20" s="35" t="inlineStr">
        <is>
          <t>%</t>
        </is>
      </c>
      <c r="L20" s="35" t="inlineStr">
        <is>
          <t>Físico</t>
        </is>
      </c>
      <c r="M20" s="35" t="n">
        <v>15</v>
      </c>
      <c r="N20" s="34" t="n">
        <v>150</v>
      </c>
      <c r="O20" s="37">
        <f>IF(L20="Físico",Parametros!$B$2,IF(L20="Economia",Parametros!$B$3,Parametros!$B$4))</f>
        <v/>
      </c>
      <c r="P20" s="37">
        <f>IF(M20="",Parametros!$B$7,M20)</f>
        <v/>
      </c>
      <c r="Q20" s="38">
        <f>IF(AND(M20&lt;&gt;"",M20&lt;10),"",ROUND(N20*O20^9,0))</f>
        <v/>
      </c>
      <c r="R20" s="38">
        <f>ROUND(N20*(O20^P20-1)/(O20-1),0)</f>
        <v/>
      </c>
      <c r="S20" s="39">
        <f>IF(L20="Físico",1,Parametros!$B$6^INT(P20/Parametros!$B$5))</f>
        <v/>
      </c>
      <c r="T20" s="40">
        <f>IF(K20="%",H20*(1+J20*P20*S20),H20+J20*P20)</f>
        <v/>
      </c>
      <c r="U20" s="33" t="n"/>
      <c r="V20" s="33" t="inlineStr">
        <is>
          <t>Sim (AntRoles.FoodCost)</t>
        </is>
      </c>
    </row>
    <row r="21" ht="15" customHeight="1" s="23">
      <c r="A21" s="33" t="inlineStr">
        <is>
          <t>Q+3</t>
        </is>
      </c>
      <c r="B21" s="33" t="inlineStr">
        <is>
          <t>Rainha</t>
        </is>
      </c>
      <c r="C21" s="33" t="inlineStr">
        <is>
          <t>Rainha</t>
        </is>
      </c>
      <c r="D21" s="33" t="inlineStr">
        <is>
          <t>A1</t>
        </is>
      </c>
      <c r="E21" s="33" t="inlineStr">
        <is>
          <t>Vigor real</t>
        </is>
      </c>
      <c r="F21" s="33" t="inlineStr">
        <is>
          <t>Q0 e primeiro ataque</t>
        </is>
      </c>
      <c r="G21" s="33" t="inlineStr">
        <is>
          <t>Vida da rainha</t>
        </is>
      </c>
      <c r="H21" s="35" t="n">
        <v>60</v>
      </c>
      <c r="I21" s="33" t="inlineStr">
        <is>
          <t>vida</t>
        </is>
      </c>
      <c r="J21" s="36" t="n">
        <v>0.1</v>
      </c>
      <c r="K21" s="35" t="inlineStr">
        <is>
          <t>%</t>
        </is>
      </c>
      <c r="L21" s="35" t="inlineStr">
        <is>
          <t>Físico</t>
        </is>
      </c>
      <c r="M21" s="35" t="n">
        <v>10</v>
      </c>
      <c r="N21" s="34" t="n">
        <v>250</v>
      </c>
      <c r="O21" s="37">
        <f>IF(L21="Físico",Parametros!$B$2,IF(L21="Economia",Parametros!$B$3,Parametros!$B$4))</f>
        <v/>
      </c>
      <c r="P21" s="37">
        <f>IF(M21="",Parametros!$B$7,M21)</f>
        <v/>
      </c>
      <c r="Q21" s="38">
        <f>IF(AND(M21&lt;&gt;"",M21&lt;10),"",ROUND(N21*O21^9,0))</f>
        <v/>
      </c>
      <c r="R21" s="38">
        <f>ROUND(N21*(O21^P21-1)/(O21-1),0)</f>
        <v/>
      </c>
      <c r="S21" s="39">
        <f>IF(L21="Físico",1,Parametros!$B$6^INT(P21/Parametros!$B$5))</f>
        <v/>
      </c>
      <c r="T21" s="40">
        <f>IF(K21="%",H21*(1+J21*P21*S21),H21+J21*P21)</f>
        <v/>
      </c>
      <c r="U21" s="33" t="n"/>
      <c r="V21" s="33" t="inlineStr">
        <is>
          <t>Sim (QueenHealth)</t>
        </is>
      </c>
    </row>
    <row r="22" ht="15" customHeight="1" s="23">
      <c r="A22" s="33" t="inlineStr">
        <is>
          <t>O+1</t>
        </is>
      </c>
      <c r="B22" s="33" t="inlineStr">
        <is>
          <t>Rainha</t>
        </is>
      </c>
      <c r="C22" s="33" t="inlineStr">
        <is>
          <t>Comum</t>
        </is>
      </c>
      <c r="D22" s="33" t="inlineStr">
        <is>
          <t>A2</t>
        </is>
      </c>
      <c r="E22" s="33" t="inlineStr">
        <is>
          <t>Passo firme</t>
        </is>
      </c>
      <c r="F22" s="33" t="inlineStr">
        <is>
          <t>O2</t>
        </is>
      </c>
      <c r="G22" s="33" t="inlineStr">
        <is>
          <t>Velocidade das comuns (com O2)</t>
        </is>
      </c>
      <c r="H22" s="35" t="n">
        <v>30</v>
      </c>
      <c r="I22" s="33" t="inlineStr">
        <is>
          <t>células/s</t>
        </is>
      </c>
      <c r="J22" s="36" t="n">
        <v>0.04</v>
      </c>
      <c r="K22" s="35" t="inlineStr">
        <is>
          <t>%</t>
        </is>
      </c>
      <c r="L22" s="35" t="inlineStr">
        <is>
          <t>Físico</t>
        </is>
      </c>
      <c r="M22" s="35" t="n">
        <v>10</v>
      </c>
      <c r="N22" s="34" t="n">
        <v>80</v>
      </c>
      <c r="O22" s="37">
        <f>IF(L22="Físico",Parametros!$B$2,IF(L22="Economia",Parametros!$B$3,Parametros!$B$4))</f>
        <v/>
      </c>
      <c r="P22" s="37">
        <f>IF(M22="",Parametros!$B$7,M22)</f>
        <v/>
      </c>
      <c r="Q22" s="38">
        <f>IF(AND(M22&lt;&gt;"",M22&lt;10),"",ROUND(N22*O22^9,0))</f>
        <v/>
      </c>
      <c r="R22" s="38">
        <f>ROUND(N22*(O22^P22-1)/(O22-1),0)</f>
        <v/>
      </c>
      <c r="S22" s="39">
        <f>IF(L22="Físico",1,Parametros!$B$6^INT(P22/Parametros!$B$5))</f>
        <v/>
      </c>
      <c r="T22" s="40">
        <f>IF(K22="%",H22*(1+J22*P22*S22),H22+J22*P22)</f>
        <v/>
      </c>
      <c r="U22" s="33" t="n"/>
      <c r="V22" s="33" t="inlineStr">
        <is>
          <t>Sim (QueenTree.SpeedFactor)</t>
        </is>
      </c>
    </row>
    <row r="23" ht="15" customHeight="1" s="23">
      <c r="A23" s="33" t="inlineStr">
        <is>
          <t>O+2</t>
        </is>
      </c>
      <c r="B23" s="33" t="inlineStr">
        <is>
          <t>Rainha</t>
        </is>
      </c>
      <c r="C23" s="33" t="inlineStr">
        <is>
          <t>Comum</t>
        </is>
      </c>
      <c r="D23" s="33" t="inlineStr">
        <is>
          <t>A1</t>
        </is>
      </c>
      <c r="E23" s="33" t="inlineStr">
        <is>
          <t>Longevidade</t>
        </is>
      </c>
      <c r="F23" s="33" t="inlineStr">
        <is>
          <t>O0 e B1</t>
        </is>
      </c>
      <c r="G23" s="33" t="inlineStr">
        <is>
          <t>Vida das adultas</t>
        </is>
      </c>
      <c r="H23" s="35" t="n">
        <v>600</v>
      </c>
      <c r="I23" s="33" t="inlineStr">
        <is>
          <t>s</t>
        </is>
      </c>
      <c r="J23" s="36" t="n">
        <v>0.1</v>
      </c>
      <c r="K23" s="35" t="inlineStr">
        <is>
          <t>%</t>
        </is>
      </c>
      <c r="L23" s="35" t="inlineStr">
        <is>
          <t>Físico</t>
        </is>
      </c>
      <c r="M23" s="35" t="n">
        <v>10</v>
      </c>
      <c r="N23" s="34" t="n">
        <v>150</v>
      </c>
      <c r="O23" s="37">
        <f>IF(L23="Físico",Parametros!$B$2,IF(L23="Economia",Parametros!$B$3,Parametros!$B$4))</f>
        <v/>
      </c>
      <c r="P23" s="37">
        <f>IF(M23="",Parametros!$B$7,M23)</f>
        <v/>
      </c>
      <c r="Q23" s="38">
        <f>IF(AND(M23&lt;&gt;"",M23&lt;10),"",ROUND(N23*O23^9,0))</f>
        <v/>
      </c>
      <c r="R23" s="38">
        <f>ROUND(N23*(O23^P23-1)/(O23-1),0)</f>
        <v/>
      </c>
      <c r="S23" s="39">
        <f>IF(L23="Físico",1,Parametros!$B$6^INT(P23/Parametros!$B$5))</f>
        <v/>
      </c>
      <c r="T23" s="40">
        <f>IF(K23="%",H23*(1+J23*P23*S23),H23+J23*P23)</f>
        <v/>
      </c>
      <c r="U23" s="33" t="n"/>
      <c r="V23" s="33" t="inlineStr">
        <is>
          <t>Sim (AntLifespanSeconds)</t>
        </is>
      </c>
    </row>
    <row r="24" ht="15" customHeight="1" s="23">
      <c r="A24" s="33" t="inlineStr">
        <is>
          <t>O+3</t>
        </is>
      </c>
      <c r="B24" s="33" t="inlineStr">
        <is>
          <t>Rainha</t>
        </is>
      </c>
      <c r="C24" s="33" t="inlineStr">
        <is>
          <t>Comum</t>
        </is>
      </c>
      <c r="D24" s="33" t="inlineStr">
        <is>
          <t>A2</t>
        </is>
      </c>
      <c r="E24" s="33" t="inlineStr">
        <is>
          <t>Mandíbula de trabalho</t>
        </is>
      </c>
      <c r="F24" s="33" t="inlineStr">
        <is>
          <t>O1</t>
        </is>
      </c>
      <c r="G24" s="33" t="inlineStr">
        <is>
          <t>Tempo de corte das comuns</t>
        </is>
      </c>
      <c r="H24" s="35" t="n">
        <v>1</v>
      </c>
      <c r="I24" s="33" t="inlineStr">
        <is>
          <t>× base</t>
        </is>
      </c>
      <c r="J24" s="36" t="n">
        <v>-0.03</v>
      </c>
      <c r="K24" s="35" t="inlineStr">
        <is>
          <t>%</t>
        </is>
      </c>
      <c r="L24" s="35" t="inlineStr">
        <is>
          <t>Físico</t>
        </is>
      </c>
      <c r="M24" s="35" t="n">
        <v>10</v>
      </c>
      <c r="N24" s="34" t="n">
        <v>80</v>
      </c>
      <c r="O24" s="37">
        <f>IF(L24="Físico",Parametros!$B$2,IF(L24="Economia",Parametros!$B$3,Parametros!$B$4))</f>
        <v/>
      </c>
      <c r="P24" s="37">
        <f>IF(M24="",Parametros!$B$7,M24)</f>
        <v/>
      </c>
      <c r="Q24" s="38">
        <f>IF(AND(M24&lt;&gt;"",M24&lt;10),"",ROUND(N24*O24^9,0))</f>
        <v/>
      </c>
      <c r="R24" s="38">
        <f>ROUND(N24*(O24^P24-1)/(O24-1),0)</f>
        <v/>
      </c>
      <c r="S24" s="39">
        <f>IF(L24="Físico",1,Parametros!$B$6^INT(P24/Parametros!$B$5))</f>
        <v/>
      </c>
      <c r="T24" s="40">
        <f>IF(K24="%",H24*(1+J24*P24*S24),H24+J24*P24)</f>
        <v/>
      </c>
      <c r="U24" s="33" t="n"/>
      <c r="V24" s="33" t="inlineStr">
        <is>
          <t>Sim (corte)</t>
        </is>
      </c>
    </row>
    <row r="25" ht="15" customHeight="1" s="23">
      <c r="A25" s="33" t="inlineStr">
        <is>
          <t>L+1</t>
        </is>
      </c>
      <c r="B25" s="33" t="inlineStr">
        <is>
          <t>Rainha</t>
        </is>
      </c>
      <c r="C25" s="33" t="inlineStr">
        <is>
          <t>Carregadora</t>
        </is>
      </c>
      <c r="D25" s="33" t="inlineStr">
        <is>
          <t>A2</t>
        </is>
      </c>
      <c r="E25" s="33" t="inlineStr">
        <is>
          <t>Costas largas</t>
        </is>
      </c>
      <c r="F25" s="33" t="inlineStr">
        <is>
          <t>L1</t>
        </is>
      </c>
      <c r="G25" s="33" t="inlineStr">
        <is>
          <t>Carga da carregadora (com L1)</t>
        </is>
      </c>
      <c r="H25" s="35" t="n">
        <v>6</v>
      </c>
      <c r="I25" s="33" t="inlineStr">
        <is>
          <t>UM</t>
        </is>
      </c>
      <c r="J25" s="41" t="n">
        <v>1</v>
      </c>
      <c r="K25" s="35" t="inlineStr">
        <is>
          <t>abs</t>
        </is>
      </c>
      <c r="L25" s="35" t="inlineStr">
        <is>
          <t>Físico</t>
        </is>
      </c>
      <c r="M25" s="35" t="n">
        <v>4</v>
      </c>
      <c r="N25" s="34" t="n">
        <v>200</v>
      </c>
      <c r="O25" s="37">
        <f>IF(L25="Físico",Parametros!$B$2,IF(L25="Economia",Parametros!$B$3,Parametros!$B$4))</f>
        <v/>
      </c>
      <c r="P25" s="37">
        <f>IF(M25="",Parametros!$B$7,M25)</f>
        <v/>
      </c>
      <c r="Q25" s="38">
        <f>IF(AND(M25&lt;&gt;"",M25&lt;10),"",ROUND(N25*O25^9,0))</f>
        <v/>
      </c>
      <c r="R25" s="38">
        <f>ROUND(N25*(O25^P25-1)/(O25-1),0)</f>
        <v/>
      </c>
      <c r="S25" s="39">
        <f>IF(L25="Físico",1,Parametros!$B$6^INT(P25/Parametros!$B$5))</f>
        <v/>
      </c>
      <c r="T25" s="40">
        <f>IF(K25="%",H25*(1+J25*P25*S25),H25+J25*P25)</f>
        <v/>
      </c>
      <c r="U25" s="33" t="n"/>
      <c r="V25" s="33" t="inlineStr">
        <is>
          <t>Sim (MaterialCapacity)</t>
        </is>
      </c>
    </row>
    <row r="26" ht="15" customHeight="1" s="23">
      <c r="A26" s="33" t="inlineStr">
        <is>
          <t>L+2</t>
        </is>
      </c>
      <c r="B26" s="33" t="inlineStr">
        <is>
          <t>Rainha</t>
        </is>
      </c>
      <c r="C26" s="33" t="inlineStr">
        <is>
          <t>Carregadora</t>
        </is>
      </c>
      <c r="D26" s="33" t="inlineStr">
        <is>
          <t>A2</t>
        </is>
      </c>
      <c r="E26" s="33" t="inlineStr">
        <is>
          <t>Passo de carga</t>
        </is>
      </c>
      <c r="F26" s="33" t="inlineStr">
        <is>
          <t>L3</t>
        </is>
      </c>
      <c r="G26" s="33" t="inlineStr">
        <is>
          <t>Velocidade das carregadoras (com L3)</t>
        </is>
      </c>
      <c r="H26" s="35" t="n">
        <v>35</v>
      </c>
      <c r="I26" s="33" t="inlineStr">
        <is>
          <t>células/s</t>
        </is>
      </c>
      <c r="J26" s="36" t="n">
        <v>0.04</v>
      </c>
      <c r="K26" s="35" t="inlineStr">
        <is>
          <t>%</t>
        </is>
      </c>
      <c r="L26" s="35" t="inlineStr">
        <is>
          <t>Físico</t>
        </is>
      </c>
      <c r="M26" s="35" t="n">
        <v>10</v>
      </c>
      <c r="N26" s="34" t="n">
        <v>120</v>
      </c>
      <c r="O26" s="37">
        <f>IF(L26="Físico",Parametros!$B$2,IF(L26="Economia",Parametros!$B$3,Parametros!$B$4))</f>
        <v/>
      </c>
      <c r="P26" s="37">
        <f>IF(M26="",Parametros!$B$7,M26)</f>
        <v/>
      </c>
      <c r="Q26" s="38">
        <f>IF(AND(M26&lt;&gt;"",M26&lt;10),"",ROUND(N26*O26^9,0))</f>
        <v/>
      </c>
      <c r="R26" s="38">
        <f>ROUND(N26*(O26^P26-1)/(O26-1),0)</f>
        <v/>
      </c>
      <c r="S26" s="39">
        <f>IF(L26="Físico",1,Parametros!$B$6^INT(P26/Parametros!$B$5))</f>
        <v/>
      </c>
      <c r="T26" s="40">
        <f>IF(K26="%",H26*(1+J26*P26*S26),H26+J26*P26)</f>
        <v/>
      </c>
      <c r="U26" s="33" t="n"/>
      <c r="V26" s="33" t="inlineStr">
        <is>
          <t>Sim (QueenTree.SpeedFactor)</t>
        </is>
      </c>
    </row>
    <row r="27" ht="15" customHeight="1" s="23">
      <c r="A27" s="33" t="inlineStr">
        <is>
          <t>F+1</t>
        </is>
      </c>
      <c r="B27" s="33" t="inlineStr">
        <is>
          <t>Rainha</t>
        </is>
      </c>
      <c r="C27" s="33" t="inlineStr">
        <is>
          <t>Cortadeira</t>
        </is>
      </c>
      <c r="D27" s="33" t="inlineStr">
        <is>
          <t>A2</t>
        </is>
      </c>
      <c r="E27" s="33" t="inlineStr">
        <is>
          <t>Serrilha</t>
        </is>
      </c>
      <c r="F27" s="33" t="inlineStr">
        <is>
          <t>F1</t>
        </is>
      </c>
      <c r="G27" s="33" t="inlineStr">
        <is>
          <t>Tempo de corte da cortadeira</t>
        </is>
      </c>
      <c r="H27" s="35" t="n">
        <v>1</v>
      </c>
      <c r="I27" s="33" t="inlineStr">
        <is>
          <t>× base</t>
        </is>
      </c>
      <c r="J27" s="36" t="n">
        <v>-0.04</v>
      </c>
      <c r="K27" s="35" t="inlineStr">
        <is>
          <t>%</t>
        </is>
      </c>
      <c r="L27" s="35" t="inlineStr">
        <is>
          <t>Físico</t>
        </is>
      </c>
      <c r="M27" s="35" t="n">
        <v>10</v>
      </c>
      <c r="N27" s="34" t="n">
        <v>120</v>
      </c>
      <c r="O27" s="37">
        <f>IF(L27="Físico",Parametros!$B$2,IF(L27="Economia",Parametros!$B$3,Parametros!$B$4))</f>
        <v/>
      </c>
      <c r="P27" s="37">
        <f>IF(M27="",Parametros!$B$7,M27)</f>
        <v/>
      </c>
      <c r="Q27" s="38">
        <f>IF(AND(M27&lt;&gt;"",M27&lt;10),"",ROUND(N27*O27^9,0))</f>
        <v/>
      </c>
      <c r="R27" s="38">
        <f>ROUND(N27*(O27^P27-1)/(O27-1),0)</f>
        <v/>
      </c>
      <c r="S27" s="39">
        <f>IF(L27="Físico",1,Parametros!$B$6^INT(P27/Parametros!$B$5))</f>
        <v/>
      </c>
      <c r="T27" s="40">
        <f>IF(K27="%",H27*(1+J27*P27*S27),H27+J27*P27)</f>
        <v/>
      </c>
      <c r="U27" s="33" t="n"/>
      <c r="V27" s="33" t="inlineStr">
        <is>
          <t>Sim (CutTimeFactor)</t>
        </is>
      </c>
    </row>
    <row r="28" ht="15" customHeight="1" s="23">
      <c r="A28" s="33" t="inlineStr">
        <is>
          <t>E+1</t>
        </is>
      </c>
      <c r="B28" s="33" t="inlineStr">
        <is>
          <t>Rainha</t>
        </is>
      </c>
      <c r="C28" s="33" t="inlineStr">
        <is>
          <t>Escavadora</t>
        </is>
      </c>
      <c r="D28" s="33" t="inlineStr">
        <is>
          <t>A2</t>
        </is>
      </c>
      <c r="E28" s="33" t="inlineStr">
        <is>
          <t>Mandíbulas de pá</t>
        </is>
      </c>
      <c r="F28" s="33" t="inlineStr">
        <is>
          <t>E1</t>
        </is>
      </c>
      <c r="G28" s="33" t="inlineStr">
        <is>
          <t>Tempo de escavação da escavadora</t>
        </is>
      </c>
      <c r="H28" s="35" t="n">
        <v>1</v>
      </c>
      <c r="I28" s="33" t="inlineStr">
        <is>
          <t>× base</t>
        </is>
      </c>
      <c r="J28" s="36" t="n">
        <v>-0.04</v>
      </c>
      <c r="K28" s="35" t="inlineStr">
        <is>
          <t>%</t>
        </is>
      </c>
      <c r="L28" s="35" t="inlineStr">
        <is>
          <t>Físico</t>
        </is>
      </c>
      <c r="M28" s="35" t="n">
        <v>10</v>
      </c>
      <c r="N28" s="34" t="n">
        <v>120</v>
      </c>
      <c r="O28" s="37">
        <f>IF(L28="Físico",Parametros!$B$2,IF(L28="Economia",Parametros!$B$3,Parametros!$B$4))</f>
        <v/>
      </c>
      <c r="P28" s="37">
        <f>IF(M28="",Parametros!$B$7,M28)</f>
        <v/>
      </c>
      <c r="Q28" s="38">
        <f>IF(AND(M28&lt;&gt;"",M28&lt;10),"",ROUND(N28*O28^9,0))</f>
        <v/>
      </c>
      <c r="R28" s="38">
        <f>ROUND(N28*(O28^P28-1)/(O28-1),0)</f>
        <v/>
      </c>
      <c r="S28" s="39">
        <f>IF(L28="Físico",1,Parametros!$B$6^INT(P28/Parametros!$B$5))</f>
        <v/>
      </c>
      <c r="T28" s="40">
        <f>IF(K28="%",H28*(1+J28*P28*S28),H28+J28*P28)</f>
        <v/>
      </c>
      <c r="U28" s="33" t="n"/>
      <c r="V28" s="33" t="inlineStr">
        <is>
          <t>Sim (DigTimeFactor)</t>
        </is>
      </c>
    </row>
    <row r="29" ht="15" customHeight="1" s="23">
      <c r="A29" s="33" t="inlineStr">
        <is>
          <t>E+2</t>
        </is>
      </c>
      <c r="B29" s="33" t="inlineStr">
        <is>
          <t>Rainha</t>
        </is>
      </c>
      <c r="C29" s="33" t="inlineStr">
        <is>
          <t>Escavadora</t>
        </is>
      </c>
      <c r="D29" s="33" t="inlineStr">
        <is>
          <t>A2</t>
        </is>
      </c>
      <c r="E29" s="33" t="inlineStr">
        <is>
          <t>Carga de terra</t>
        </is>
      </c>
      <c r="F29" s="33" t="inlineStr">
        <is>
          <t>E1</t>
        </is>
      </c>
      <c r="G29" s="33" t="inlineStr">
        <is>
          <t>Terra por viagem (com E1)</t>
        </is>
      </c>
      <c r="H29" s="35" t="n">
        <v>9</v>
      </c>
      <c r="I29" s="33" t="inlineStr">
        <is>
          <t>células</t>
        </is>
      </c>
      <c r="J29" s="41" t="n">
        <v>1</v>
      </c>
      <c r="K29" s="35" t="inlineStr">
        <is>
          <t>abs</t>
        </is>
      </c>
      <c r="L29" s="35" t="inlineStr">
        <is>
          <t>Físico</t>
        </is>
      </c>
      <c r="M29" s="35" t="n">
        <v>6</v>
      </c>
      <c r="N29" s="34" t="n">
        <v>150</v>
      </c>
      <c r="O29" s="37">
        <f>IF(L29="Físico",Parametros!$B$2,IF(L29="Economia",Parametros!$B$3,Parametros!$B$4))</f>
        <v/>
      </c>
      <c r="P29" s="37">
        <f>IF(M29="",Parametros!$B$7,M29)</f>
        <v/>
      </c>
      <c r="Q29" s="38">
        <f>IF(AND(M29&lt;&gt;"",M29&lt;10),"",ROUND(N29*O29^9,0))</f>
        <v/>
      </c>
      <c r="R29" s="38">
        <f>ROUND(N29*(O29^P29-1)/(O29-1),0)</f>
        <v/>
      </c>
      <c r="S29" s="39">
        <f>IF(L29="Físico",1,Parametros!$B$6^INT(P29/Parametros!$B$5))</f>
        <v/>
      </c>
      <c r="T29" s="40">
        <f>IF(K29="%",H29*(1+J29*P29*S29),H29+J29*P29)</f>
        <v/>
      </c>
      <c r="U29" s="33" t="n"/>
      <c r="V29" s="33" t="inlineStr">
        <is>
          <t>Sim (SoilCapacity)</t>
        </is>
      </c>
    </row>
    <row r="30" ht="15" customHeight="1" s="23">
      <c r="A30" s="33" t="inlineStr">
        <is>
          <t>E+3</t>
        </is>
      </c>
      <c r="B30" s="33" t="inlineStr">
        <is>
          <t>Rainha</t>
        </is>
      </c>
      <c r="C30" s="33" t="inlineStr">
        <is>
          <t>Escavadora</t>
        </is>
      </c>
      <c r="D30" s="33" t="inlineStr">
        <is>
          <t>A3</t>
        </is>
      </c>
      <c r="E30" s="33" t="inlineStr">
        <is>
          <t>Britador</t>
        </is>
      </c>
      <c r="F30" s="33" t="inlineStr">
        <is>
          <t>E2</t>
        </is>
      </c>
      <c r="G30" s="33" t="inlineStr">
        <is>
          <t>Tempo para quebrar rocha</t>
        </is>
      </c>
      <c r="H30" s="35" t="n">
        <v>1</v>
      </c>
      <c r="I30" s="33" t="inlineStr">
        <is>
          <t>s</t>
        </is>
      </c>
      <c r="J30" s="36" t="n">
        <v>-0.06</v>
      </c>
      <c r="K30" s="35" t="inlineStr">
        <is>
          <t>%</t>
        </is>
      </c>
      <c r="L30" s="35" t="inlineStr">
        <is>
          <t>Físico</t>
        </is>
      </c>
      <c r="M30" s="35" t="n">
        <v>8</v>
      </c>
      <c r="N30" s="34" t="n">
        <v>300</v>
      </c>
      <c r="O30" s="37">
        <f>IF(L30="Físico",Parametros!$B$2,IF(L30="Economia",Parametros!$B$3,Parametros!$B$4))</f>
        <v/>
      </c>
      <c r="P30" s="37">
        <f>IF(M30="",Parametros!$B$7,M30)</f>
        <v/>
      </c>
      <c r="Q30" s="38">
        <f>IF(AND(M30&lt;&gt;"",M30&lt;10),"",ROUND(N30*O30^9,0))</f>
        <v/>
      </c>
      <c r="R30" s="38">
        <f>ROUND(N30*(O30^P30-1)/(O30-1),0)</f>
        <v/>
      </c>
      <c r="S30" s="39">
        <f>IF(L30="Físico",1,Parametros!$B$6^INT(P30/Parametros!$B$5))</f>
        <v/>
      </c>
      <c r="T30" s="40">
        <f>IF(K30="%",H30*(1+J30*P30*S30),H30+J30*P30)</f>
        <v/>
      </c>
      <c r="U30" s="33" t="n"/>
      <c r="V30" s="33" t="inlineStr">
        <is>
          <t>Sim (RockBreakSeconds)</t>
        </is>
      </c>
    </row>
    <row r="31" ht="15" customHeight="1" s="23">
      <c r="A31" s="33" t="inlineStr">
        <is>
          <t>J+1</t>
        </is>
      </c>
      <c r="B31" s="33" t="inlineStr">
        <is>
          <t>Rainha</t>
        </is>
      </c>
      <c r="C31" s="33" t="inlineStr">
        <is>
          <t>Jardineira</t>
        </is>
      </c>
      <c r="D31" s="33" t="inlineStr">
        <is>
          <t>A2</t>
        </is>
      </c>
      <c r="E31" s="33" t="inlineStr">
        <is>
          <t>Mãos verdes</t>
        </is>
      </c>
      <c r="F31" s="33" t="inlineStr">
        <is>
          <t>J1</t>
        </is>
      </c>
      <c r="G31" s="33" t="inlineStr">
        <is>
          <t>Bônus da jardineira no canteiro</t>
        </is>
      </c>
      <c r="H31" s="35" t="n">
        <v>1</v>
      </c>
      <c r="I31" s="33" t="inlineStr">
        <is>
          <t>× base</t>
        </is>
      </c>
      <c r="J31" s="36" t="n">
        <v>0.05</v>
      </c>
      <c r="K31" s="35" t="inlineStr">
        <is>
          <t>%</t>
        </is>
      </c>
      <c r="L31" s="35" t="inlineStr">
        <is>
          <t>Economia</t>
        </is>
      </c>
      <c r="M31" s="35" t="n"/>
      <c r="N31" s="34" t="n">
        <v>150</v>
      </c>
      <c r="O31" s="37">
        <f>IF(L31="Físico",Parametros!$B$2,IF(L31="Economia",Parametros!$B$3,Parametros!$B$4))</f>
        <v/>
      </c>
      <c r="P31" s="37">
        <f>IF(M31="",Parametros!$B$7,M31)</f>
        <v/>
      </c>
      <c r="Q31" s="38">
        <f>IF(AND(M31&lt;&gt;"",M31&lt;10),"",ROUND(N31*O31^9,0))</f>
        <v/>
      </c>
      <c r="R31" s="38">
        <f>ROUND(N31*(O31^P31-1)/(O31-1),0)</f>
        <v/>
      </c>
      <c r="S31" s="39">
        <f>IF(L31="Físico",1,Parametros!$B$6^INT(P31/Parametros!$B$5))</f>
        <v/>
      </c>
      <c r="T31" s="40">
        <f>IF(K31="%",H31*(1+J31*P31*S31),H31+J31*P31)</f>
        <v/>
      </c>
      <c r="U31" s="33" t="inlineStr">
        <is>
          <t>A jardineira cuida de 2 canteiros ao mesmo tempo</t>
        </is>
      </c>
      <c r="V31" s="33" t="inlineStr">
        <is>
          <t>Sim (GardenCureRate)</t>
        </is>
      </c>
    </row>
    <row r="32" ht="15" customHeight="1" s="23">
      <c r="A32" s="33" t="inlineStr">
        <is>
          <t>J+2</t>
        </is>
      </c>
      <c r="B32" s="33" t="inlineStr">
        <is>
          <t>Rainha</t>
        </is>
      </c>
      <c r="C32" s="33" t="inlineStr">
        <is>
          <t>Jardineira</t>
        </is>
      </c>
      <c r="D32" s="33" t="inlineStr">
        <is>
          <t>A2</t>
        </is>
      </c>
      <c r="E32" s="33" t="inlineStr">
        <is>
          <t>Orvalheira</t>
        </is>
      </c>
      <c r="F32" s="33" t="inlineStr">
        <is>
          <t>J0 e G0</t>
        </is>
      </c>
      <c r="G32" s="33" t="inlineStr">
        <is>
          <t>Aceleração da gota pela jardineira</t>
        </is>
      </c>
      <c r="H32" s="35" t="n">
        <v>1</v>
      </c>
      <c r="I32" s="33" t="inlineStr">
        <is>
          <t>× base</t>
        </is>
      </c>
      <c r="J32" s="36" t="n">
        <v>0.1</v>
      </c>
      <c r="K32" s="35" t="inlineStr">
        <is>
          <t>%</t>
        </is>
      </c>
      <c r="L32" s="35" t="inlineStr">
        <is>
          <t>Físico</t>
        </is>
      </c>
      <c r="M32" s="35" t="n">
        <v>10</v>
      </c>
      <c r="N32" s="34" t="n">
        <v>120</v>
      </c>
      <c r="O32" s="37">
        <f>IF(L32="Físico",Parametros!$B$2,IF(L32="Economia",Parametros!$B$3,Parametros!$B$4))</f>
        <v/>
      </c>
      <c r="P32" s="37">
        <f>IF(M32="",Parametros!$B$7,M32)</f>
        <v/>
      </c>
      <c r="Q32" s="38">
        <f>IF(AND(M32&lt;&gt;"",M32&lt;10),"",ROUND(N32*O32^9,0))</f>
        <v/>
      </c>
      <c r="R32" s="38">
        <f>ROUND(N32*(O32^P32-1)/(O32-1),0)</f>
        <v/>
      </c>
      <c r="S32" s="39">
        <f>IF(L32="Físico",1,Parametros!$B$6^INT(P32/Parametros!$B$5))</f>
        <v/>
      </c>
      <c r="T32" s="40">
        <f>IF(K32="%",H32*(1+J32*P32*S32),H32+J32*P32)</f>
        <v/>
      </c>
      <c r="U32" s="33" t="n"/>
      <c r="V32" s="33" t="inlineStr">
        <is>
          <t>Sim (DewTendBoost)</t>
        </is>
      </c>
    </row>
    <row r="33" ht="15" customHeight="1" s="23">
      <c r="A33" s="33" t="inlineStr">
        <is>
          <t>N+1</t>
        </is>
      </c>
      <c r="B33" s="33" t="inlineStr">
        <is>
          <t>Rainha</t>
        </is>
      </c>
      <c r="C33" s="33" t="inlineStr">
        <is>
          <t>Cuidadora</t>
        </is>
      </c>
      <c r="D33" s="33" t="inlineStr">
        <is>
          <t>A2</t>
        </is>
      </c>
      <c r="E33" s="33" t="inlineStr">
        <is>
          <t>Ninhada atenta</t>
        </is>
      </c>
      <c r="F33" s="33" t="inlineStr">
        <is>
          <t>N1</t>
        </is>
      </c>
      <c r="G33" s="33" t="inlineStr">
        <is>
          <t>Pausa de cuidado</t>
        </is>
      </c>
      <c r="H33" s="35" t="n">
        <v>1</v>
      </c>
      <c r="I33" s="33" t="inlineStr">
        <is>
          <t>s</t>
        </is>
      </c>
      <c r="J33" s="36" t="n">
        <v>-0.05</v>
      </c>
      <c r="K33" s="35" t="inlineStr">
        <is>
          <t>%</t>
        </is>
      </c>
      <c r="L33" s="35" t="inlineStr">
        <is>
          <t>Físico</t>
        </is>
      </c>
      <c r="M33" s="35" t="n">
        <v>10</v>
      </c>
      <c r="N33" s="34" t="n">
        <v>120</v>
      </c>
      <c r="O33" s="37">
        <f>IF(L33="Físico",Parametros!$B$2,IF(L33="Economia",Parametros!$B$3,Parametros!$B$4))</f>
        <v/>
      </c>
      <c r="P33" s="37">
        <f>IF(M33="",Parametros!$B$7,M33)</f>
        <v/>
      </c>
      <c r="Q33" s="38">
        <f>IF(AND(M33&lt;&gt;"",M33&lt;10),"",ROUND(N33*O33^9,0))</f>
        <v/>
      </c>
      <c r="R33" s="38">
        <f>ROUND(N33*(O33^P33-1)/(O33-1),0)</f>
        <v/>
      </c>
      <c r="S33" s="39">
        <f>IF(L33="Físico",1,Parametros!$B$6^INT(P33/Parametros!$B$5))</f>
        <v/>
      </c>
      <c r="T33" s="40">
        <f>IF(K33="%",H33*(1+J33*P33*S33),H33+J33*P33)</f>
        <v/>
      </c>
      <c r="U33" s="33" t="n"/>
      <c r="V33" s="33" t="inlineStr">
        <is>
          <t>Sim (CarePauseSeconds)</t>
        </is>
      </c>
    </row>
    <row r="34" ht="15" customHeight="1" s="23">
      <c r="A34" s="33" t="inlineStr">
        <is>
          <t>N+2</t>
        </is>
      </c>
      <c r="B34" s="33" t="inlineStr">
        <is>
          <t>Rainha</t>
        </is>
      </c>
      <c r="C34" s="33" t="inlineStr">
        <is>
          <t>Cuidadora</t>
        </is>
      </c>
      <c r="D34" s="33" t="inlineStr">
        <is>
          <t>A2</t>
        </is>
      </c>
      <c r="E34" s="33" t="inlineStr">
        <is>
          <t>Turno dobrado</t>
        </is>
      </c>
      <c r="F34" s="33" t="inlineStr">
        <is>
          <t>N1</t>
        </is>
      </c>
      <c r="G34" s="33" t="inlineStr">
        <is>
          <t>Blocos do berçário por cuidadora</t>
        </is>
      </c>
      <c r="H34" s="35" t="n">
        <v>2</v>
      </c>
      <c r="I34" s="33" t="inlineStr">
        <is>
          <t>blocos</t>
        </is>
      </c>
      <c r="J34" s="41" t="n">
        <v>1</v>
      </c>
      <c r="K34" s="35" t="inlineStr">
        <is>
          <t>abs</t>
        </is>
      </c>
      <c r="L34" s="35" t="inlineStr">
        <is>
          <t>Físico</t>
        </is>
      </c>
      <c r="M34" s="35" t="n">
        <v>4</v>
      </c>
      <c r="N34" s="34" t="n">
        <v>250</v>
      </c>
      <c r="O34" s="37">
        <f>IF(L34="Físico",Parametros!$B$2,IF(L34="Economia",Parametros!$B$3,Parametros!$B$4))</f>
        <v/>
      </c>
      <c r="P34" s="37">
        <f>IF(M34="",Parametros!$B$7,M34)</f>
        <v/>
      </c>
      <c r="Q34" s="38">
        <f>IF(AND(M34&lt;&gt;"",M34&lt;10),"",ROUND(N34*O34^9,0))</f>
        <v/>
      </c>
      <c r="R34" s="38">
        <f>ROUND(N34*(O34^P34-1)/(O34-1),0)</f>
        <v/>
      </c>
      <c r="S34" s="39">
        <f>IF(L34="Físico",1,Parametros!$B$6^INT(P34/Parametros!$B$5))</f>
        <v/>
      </c>
      <c r="T34" s="40">
        <f>IF(K34="%",H34*(1+J34*P34*S34),H34+J34*P34)</f>
        <v/>
      </c>
      <c r="U34" s="33" t="n"/>
      <c r="V34" s="33" t="inlineStr">
        <is>
          <t>Sim (BlocksPerTender)</t>
        </is>
      </c>
    </row>
    <row r="35" ht="15" customHeight="1" s="23">
      <c r="A35" s="33" t="inlineStr">
        <is>
          <t>S+1</t>
        </is>
      </c>
      <c r="B35" s="33" t="inlineStr">
        <is>
          <t>Rainha</t>
        </is>
      </c>
      <c r="C35" s="33" t="inlineStr">
        <is>
          <t>Soldado</t>
        </is>
      </c>
      <c r="D35" s="33" t="inlineStr">
        <is>
          <t>A3</t>
        </is>
      </c>
      <c r="E35" s="33" t="inlineStr">
        <is>
          <t>Mandíbulas afiadas</t>
        </is>
      </c>
      <c r="F35" s="33" t="inlineStr">
        <is>
          <t>S1</t>
        </is>
      </c>
      <c r="G35" s="33" t="inlineStr">
        <is>
          <t>Dano do soldado (com S1)</t>
        </is>
      </c>
      <c r="H35" s="35" t="n">
        <v>4.5</v>
      </c>
      <c r="I35" s="33" t="inlineStr">
        <is>
          <t>dano/s</t>
        </is>
      </c>
      <c r="J35" s="36" t="n">
        <v>0.08</v>
      </c>
      <c r="K35" s="35" t="inlineStr">
        <is>
          <t>%</t>
        </is>
      </c>
      <c r="L35" s="35" t="inlineStr">
        <is>
          <t>Combate</t>
        </is>
      </c>
      <c r="M35" s="35" t="n"/>
      <c r="N35" s="34" t="n">
        <v>200</v>
      </c>
      <c r="O35" s="37">
        <f>IF(L35="Físico",Parametros!$B$2,IF(L35="Economia",Parametros!$B$3,Parametros!$B$4))</f>
        <v/>
      </c>
      <c r="P35" s="37">
        <f>IF(M35="",Parametros!$B$7,M35)</f>
        <v/>
      </c>
      <c r="Q35" s="38">
        <f>IF(AND(M35&lt;&gt;"",M35&lt;10),"",ROUND(N35*O35^9,0))</f>
        <v/>
      </c>
      <c r="R35" s="38">
        <f>ROUND(N35*(O35^P35-1)/(O35-1),0)</f>
        <v/>
      </c>
      <c r="S35" s="39">
        <f>IF(L35="Físico",1,Parametros!$B$6^INT(P35/Parametros!$B$5))</f>
        <v/>
      </c>
      <c r="T35" s="40">
        <f>IF(K35="%",H35*(1+J35*P35*S35),H35+J35*P35)</f>
        <v/>
      </c>
      <c r="U35" s="33" t="inlineStr">
        <is>
          <t>10% dos golpes atordoam o cupim por 0,5 s</t>
        </is>
      </c>
      <c r="V35" s="33" t="inlineStr">
        <is>
          <t>Sim (combate)</t>
        </is>
      </c>
    </row>
    <row r="36" ht="15" customHeight="1" s="23">
      <c r="A36" s="33" t="inlineStr">
        <is>
          <t>S+2</t>
        </is>
      </c>
      <c r="B36" s="33" t="inlineStr">
        <is>
          <t>Rainha</t>
        </is>
      </c>
      <c r="C36" s="33" t="inlineStr">
        <is>
          <t>Soldado</t>
        </is>
      </c>
      <c r="D36" s="33" t="inlineStr">
        <is>
          <t>A3</t>
        </is>
      </c>
      <c r="E36" s="33" t="inlineStr">
        <is>
          <t>Carapaça grossa</t>
        </is>
      </c>
      <c r="F36" s="33" t="inlineStr">
        <is>
          <t>S2</t>
        </is>
      </c>
      <c r="G36" s="33" t="inlineStr">
        <is>
          <t>Vida do soldado (com S2)</t>
        </is>
      </c>
      <c r="H36" s="35" t="n">
        <v>27</v>
      </c>
      <c r="I36" s="33" t="inlineStr">
        <is>
          <t>vida</t>
        </is>
      </c>
      <c r="J36" s="36" t="n">
        <v>0.08</v>
      </c>
      <c r="K36" s="35" t="inlineStr">
        <is>
          <t>%</t>
        </is>
      </c>
      <c r="L36" s="35" t="inlineStr">
        <is>
          <t>Combate</t>
        </is>
      </c>
      <c r="M36" s="35" t="n"/>
      <c r="N36" s="34" t="n">
        <v>200</v>
      </c>
      <c r="O36" s="37">
        <f>IF(L36="Físico",Parametros!$B$2,IF(L36="Economia",Parametros!$B$3,Parametros!$B$4))</f>
        <v/>
      </c>
      <c r="P36" s="37">
        <f>IF(M36="",Parametros!$B$7,M36)</f>
        <v/>
      </c>
      <c r="Q36" s="38">
        <f>IF(AND(M36&lt;&gt;"",M36&lt;10),"",ROUND(N36*O36^9,0))</f>
        <v/>
      </c>
      <c r="R36" s="38">
        <f>ROUND(N36*(O36^P36-1)/(O36-1),0)</f>
        <v/>
      </c>
      <c r="S36" s="39">
        <f>IF(L36="Físico",1,Parametros!$B$6^INT(P36/Parametros!$B$5))</f>
        <v/>
      </c>
      <c r="T36" s="40">
        <f>IF(K36="%",H36*(1+J36*P36*S36),H36+J36*P36)</f>
        <v/>
      </c>
      <c r="U36" s="33" t="inlineStr">
        <is>
          <t>Uma vez por ataque, sobrevive ao golpe fatal com 1 de vida</t>
        </is>
      </c>
      <c r="V36" s="33" t="inlineStr">
        <is>
          <t>Sim (combate)</t>
        </is>
      </c>
    </row>
    <row r="37" ht="15" customHeight="1" s="23">
      <c r="A37" s="33" t="inlineStr">
        <is>
          <t>S+3</t>
        </is>
      </c>
      <c r="B37" s="33" t="inlineStr">
        <is>
          <t>Rainha</t>
        </is>
      </c>
      <c r="C37" s="33" t="inlineStr">
        <is>
          <t>Soldado</t>
        </is>
      </c>
      <c r="D37" s="33" t="inlineStr">
        <is>
          <t>A3</t>
        </is>
      </c>
      <c r="E37" s="33" t="inlineStr">
        <is>
          <t>Recuperação</t>
        </is>
      </c>
      <c r="F37" s="33" t="inlineStr">
        <is>
          <t>S0 e N0</t>
        </is>
      </c>
      <c r="G37" s="33" t="inlineStr">
        <is>
          <t>Espera para começar a curar</t>
        </is>
      </c>
      <c r="H37" s="35" t="n">
        <v>10</v>
      </c>
      <c r="I37" s="33" t="inlineStr">
        <is>
          <t>s</t>
        </is>
      </c>
      <c r="J37" s="36" t="n">
        <v>-0.05</v>
      </c>
      <c r="K37" s="35" t="inlineStr">
        <is>
          <t>%</t>
        </is>
      </c>
      <c r="L37" s="35" t="inlineStr">
        <is>
          <t>Físico</t>
        </is>
      </c>
      <c r="M37" s="35" t="n">
        <v>10</v>
      </c>
      <c r="N37" s="34" t="n">
        <v>150</v>
      </c>
      <c r="O37" s="37">
        <f>IF(L37="Físico",Parametros!$B$2,IF(L37="Economia",Parametros!$B$3,Parametros!$B$4))</f>
        <v/>
      </c>
      <c r="P37" s="37">
        <f>IF(M37="",Parametros!$B$7,M37)</f>
        <v/>
      </c>
      <c r="Q37" s="38">
        <f>IF(AND(M37&lt;&gt;"",M37&lt;10),"",ROUND(N37*O37^9,0))</f>
        <v/>
      </c>
      <c r="R37" s="38">
        <f>ROUND(N37*(O37^P37-1)/(O37-1),0)</f>
        <v/>
      </c>
      <c r="S37" s="39">
        <f>IF(L37="Físico",1,Parametros!$B$6^INT(P37/Parametros!$B$5))</f>
        <v/>
      </c>
      <c r="T37" s="40">
        <f>IF(K37="%",H37*(1+J37*P37*S37),H37+J37*P37)</f>
        <v/>
      </c>
      <c r="U37" s="33" t="n"/>
      <c r="V37" s="33" t="inlineStr">
        <is>
          <t>Sim (HealDelaySeconds)</t>
        </is>
      </c>
    </row>
  </sheetData>
  <autoFilter ref="A1:V37"/>
  <printOptions horizontalCentered="0" verticalCentered="0" headings="0" gridLines="0" gridLinesSet="1"/>
  <pageMargins left="0.75" right="0.75" top="1" bottom="1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K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875" defaultRowHeight="15" zeroHeight="0" outlineLevelRow="0"/>
  <cols>
    <col width="8" customWidth="1" style="22" min="1" max="1"/>
    <col width="9" customWidth="1" style="22" min="2" max="37"/>
  </cols>
  <sheetData>
    <row r="1" ht="15" customHeight="1" s="23">
      <c r="A1" s="26" t="inlineStr">
        <is>
          <t>Custo (N) de cada nível</t>
        </is>
      </c>
    </row>
    <row r="2" ht="15" customHeight="1" s="23">
      <c r="A2" s="42" t="inlineStr">
        <is>
          <t>Nível</t>
        </is>
      </c>
      <c r="B2" s="42" t="inlineStr">
        <is>
          <t>H+1</t>
        </is>
      </c>
      <c r="C2" s="42" t="inlineStr">
        <is>
          <t>C+1</t>
        </is>
      </c>
      <c r="D2" s="42" t="inlineStr">
        <is>
          <t>C+2</t>
        </is>
      </c>
      <c r="E2" s="42" t="inlineStr">
        <is>
          <t>C+3</t>
        </is>
      </c>
      <c r="F2" s="42" t="inlineStr">
        <is>
          <t>B+1</t>
        </is>
      </c>
      <c r="G2" s="42" t="inlineStr">
        <is>
          <t>B+2</t>
        </is>
      </c>
      <c r="H2" s="42" t="inlineStr">
        <is>
          <t>D+1</t>
        </is>
      </c>
      <c r="I2" s="42" t="inlineStr">
        <is>
          <t>D+2</t>
        </is>
      </c>
      <c r="J2" s="42" t="inlineStr">
        <is>
          <t>G+1</t>
        </is>
      </c>
      <c r="K2" s="42" t="inlineStr">
        <is>
          <t>G+2</t>
        </is>
      </c>
      <c r="L2" s="42" t="inlineStr">
        <is>
          <t>T+1</t>
        </is>
      </c>
      <c r="M2" s="42" t="inlineStr">
        <is>
          <t>T+2</t>
        </is>
      </c>
      <c r="N2" s="42" t="inlineStr">
        <is>
          <t>X+1</t>
        </is>
      </c>
      <c r="O2" s="42" t="inlineStr">
        <is>
          <t>X+2</t>
        </is>
      </c>
      <c r="P2" s="42" t="inlineStr">
        <is>
          <t>X+3</t>
        </is>
      </c>
      <c r="Q2" s="42" t="inlineStr">
        <is>
          <t>M+1</t>
        </is>
      </c>
      <c r="R2" s="42" t="inlineStr">
        <is>
          <t>M+2</t>
        </is>
      </c>
      <c r="S2" s="42" t="inlineStr">
        <is>
          <t>Q+1</t>
        </is>
      </c>
      <c r="T2" s="42" t="inlineStr">
        <is>
          <t>Q+2</t>
        </is>
      </c>
      <c r="U2" s="42" t="inlineStr">
        <is>
          <t>Q+3</t>
        </is>
      </c>
      <c r="V2" s="42" t="inlineStr">
        <is>
          <t>O+1</t>
        </is>
      </c>
      <c r="W2" s="42" t="inlineStr">
        <is>
          <t>O+2</t>
        </is>
      </c>
      <c r="X2" s="42" t="inlineStr">
        <is>
          <t>O+3</t>
        </is>
      </c>
      <c r="Y2" s="42" t="inlineStr">
        <is>
          <t>L+1</t>
        </is>
      </c>
      <c r="Z2" s="42" t="inlineStr">
        <is>
          <t>L+2</t>
        </is>
      </c>
      <c r="AA2" s="42" t="inlineStr">
        <is>
          <t>F+1</t>
        </is>
      </c>
      <c r="AB2" s="42" t="inlineStr">
        <is>
          <t>E+1</t>
        </is>
      </c>
      <c r="AC2" s="42" t="inlineStr">
        <is>
          <t>E+2</t>
        </is>
      </c>
      <c r="AD2" s="42" t="inlineStr">
        <is>
          <t>E+3</t>
        </is>
      </c>
      <c r="AE2" s="42" t="inlineStr">
        <is>
          <t>J+1</t>
        </is>
      </c>
      <c r="AF2" s="42" t="inlineStr">
        <is>
          <t>J+2</t>
        </is>
      </c>
      <c r="AG2" s="42" t="inlineStr">
        <is>
          <t>N+1</t>
        </is>
      </c>
      <c r="AH2" s="42" t="inlineStr">
        <is>
          <t>N+2</t>
        </is>
      </c>
      <c r="AI2" s="42" t="inlineStr">
        <is>
          <t>S+1</t>
        </is>
      </c>
      <c r="AJ2" s="42" t="inlineStr">
        <is>
          <t>S+2</t>
        </is>
      </c>
      <c r="AK2" s="42" t="inlineStr">
        <is>
          <t>S+3</t>
        </is>
      </c>
    </row>
    <row r="3" ht="15" customHeight="1" s="23">
      <c r="A3" s="25" t="n">
        <v>1</v>
      </c>
      <c r="B3" s="43">
        <f>IF(AND(INDEX(Galerias!$M$2:$M$37,MATCH(B$2,Galerias!$A$2:$A$37,0))&lt;&gt;"",$A3&gt;INDEX(Galerias!$M$2:$M$37,MATCH(B$2,Galerias!$A$2:$A$37,0))),"",ROUND(INDEX(Galerias!$N$2:$N$37,MATCH(B$2,Galerias!$A$2:$A$37,0))*INDEX(Galerias!$O$2:$O$37,MATCH(B$2,Galerias!$A$2:$A$37,0))^($A3-1),0))</f>
        <v/>
      </c>
      <c r="C3" s="43">
        <f>IF(AND(INDEX(Galerias!$M$2:$M$37,MATCH(C$2,Galerias!$A$2:$A$37,0))&lt;&gt;"",$A3&gt;INDEX(Galerias!$M$2:$M$37,MATCH(C$2,Galerias!$A$2:$A$37,0))),"",ROUND(INDEX(Galerias!$N$2:$N$37,MATCH(C$2,Galerias!$A$2:$A$37,0))*INDEX(Galerias!$O$2:$O$37,MATCH(C$2,Galerias!$A$2:$A$37,0))^($A3-1),0))</f>
        <v/>
      </c>
      <c r="D3" s="43">
        <f>IF(AND(INDEX(Galerias!$M$2:$M$37,MATCH(D$2,Galerias!$A$2:$A$37,0))&lt;&gt;"",$A3&gt;INDEX(Galerias!$M$2:$M$37,MATCH(D$2,Galerias!$A$2:$A$37,0))),"",ROUND(INDEX(Galerias!$N$2:$N$37,MATCH(D$2,Galerias!$A$2:$A$37,0))*INDEX(Galerias!$O$2:$O$37,MATCH(D$2,Galerias!$A$2:$A$37,0))^($A3-1),0))</f>
        <v/>
      </c>
      <c r="E3" s="43">
        <f>IF(AND(INDEX(Galerias!$M$2:$M$37,MATCH(E$2,Galerias!$A$2:$A$37,0))&lt;&gt;"",$A3&gt;INDEX(Galerias!$M$2:$M$37,MATCH(E$2,Galerias!$A$2:$A$37,0))),"",ROUND(INDEX(Galerias!$N$2:$N$37,MATCH(E$2,Galerias!$A$2:$A$37,0))*INDEX(Galerias!$O$2:$O$37,MATCH(E$2,Galerias!$A$2:$A$37,0))^($A3-1),0))</f>
        <v/>
      </c>
      <c r="F3" s="43">
        <f>IF(AND(INDEX(Galerias!$M$2:$M$37,MATCH(F$2,Galerias!$A$2:$A$37,0))&lt;&gt;"",$A3&gt;INDEX(Galerias!$M$2:$M$37,MATCH(F$2,Galerias!$A$2:$A$37,0))),"",ROUND(INDEX(Galerias!$N$2:$N$37,MATCH(F$2,Galerias!$A$2:$A$37,0))*INDEX(Galerias!$O$2:$O$37,MATCH(F$2,Galerias!$A$2:$A$37,0))^($A3-1),0))</f>
        <v/>
      </c>
      <c r="G3" s="43">
        <f>IF(AND(INDEX(Galerias!$M$2:$M$37,MATCH(G$2,Galerias!$A$2:$A$37,0))&lt;&gt;"",$A3&gt;INDEX(Galerias!$M$2:$M$37,MATCH(G$2,Galerias!$A$2:$A$37,0))),"",ROUND(INDEX(Galerias!$N$2:$N$37,MATCH(G$2,Galerias!$A$2:$A$37,0))*INDEX(Galerias!$O$2:$O$37,MATCH(G$2,Galerias!$A$2:$A$37,0))^($A3-1),0))</f>
        <v/>
      </c>
      <c r="H3" s="43">
        <f>IF(AND(INDEX(Galerias!$M$2:$M$37,MATCH(H$2,Galerias!$A$2:$A$37,0))&lt;&gt;"",$A3&gt;INDEX(Galerias!$M$2:$M$37,MATCH(H$2,Galerias!$A$2:$A$37,0))),"",ROUND(INDEX(Galerias!$N$2:$N$37,MATCH(H$2,Galerias!$A$2:$A$37,0))*INDEX(Galerias!$O$2:$O$37,MATCH(H$2,Galerias!$A$2:$A$37,0))^($A3-1),0))</f>
        <v/>
      </c>
      <c r="I3" s="43">
        <f>IF(AND(INDEX(Galerias!$M$2:$M$37,MATCH(I$2,Galerias!$A$2:$A$37,0))&lt;&gt;"",$A3&gt;INDEX(Galerias!$M$2:$M$37,MATCH(I$2,Galerias!$A$2:$A$37,0))),"",ROUND(INDEX(Galerias!$N$2:$N$37,MATCH(I$2,Galerias!$A$2:$A$37,0))*INDEX(Galerias!$O$2:$O$37,MATCH(I$2,Galerias!$A$2:$A$37,0))^($A3-1),0))</f>
        <v/>
      </c>
      <c r="J3" s="43">
        <f>IF(AND(INDEX(Galerias!$M$2:$M$37,MATCH(J$2,Galerias!$A$2:$A$37,0))&lt;&gt;"",$A3&gt;INDEX(Galerias!$M$2:$M$37,MATCH(J$2,Galerias!$A$2:$A$37,0))),"",ROUND(INDEX(Galerias!$N$2:$N$37,MATCH(J$2,Galerias!$A$2:$A$37,0))*INDEX(Galerias!$O$2:$O$37,MATCH(J$2,Galerias!$A$2:$A$37,0))^($A3-1),0))</f>
        <v/>
      </c>
      <c r="K3" s="43">
        <f>IF(AND(INDEX(Galerias!$M$2:$M$37,MATCH(K$2,Galerias!$A$2:$A$37,0))&lt;&gt;"",$A3&gt;INDEX(Galerias!$M$2:$M$37,MATCH(K$2,Galerias!$A$2:$A$37,0))),"",ROUND(INDEX(Galerias!$N$2:$N$37,MATCH(K$2,Galerias!$A$2:$A$37,0))*INDEX(Galerias!$O$2:$O$37,MATCH(K$2,Galerias!$A$2:$A$37,0))^($A3-1),0))</f>
        <v/>
      </c>
      <c r="L3" s="43">
        <f>IF(AND(INDEX(Galerias!$M$2:$M$37,MATCH(L$2,Galerias!$A$2:$A$37,0))&lt;&gt;"",$A3&gt;INDEX(Galerias!$M$2:$M$37,MATCH(L$2,Galerias!$A$2:$A$37,0))),"",ROUND(INDEX(Galerias!$N$2:$N$37,MATCH(L$2,Galerias!$A$2:$A$37,0))*INDEX(Galerias!$O$2:$O$37,MATCH(L$2,Galerias!$A$2:$A$37,0))^($A3-1),0))</f>
        <v/>
      </c>
      <c r="M3" s="43">
        <f>IF(AND(INDEX(Galerias!$M$2:$M$37,MATCH(M$2,Galerias!$A$2:$A$37,0))&lt;&gt;"",$A3&gt;INDEX(Galerias!$M$2:$M$37,MATCH(M$2,Galerias!$A$2:$A$37,0))),"",ROUND(INDEX(Galerias!$N$2:$N$37,MATCH(M$2,Galerias!$A$2:$A$37,0))*INDEX(Galerias!$O$2:$O$37,MATCH(M$2,Galerias!$A$2:$A$37,0))^($A3-1),0))</f>
        <v/>
      </c>
      <c r="N3" s="43">
        <f>IF(AND(INDEX(Galerias!$M$2:$M$37,MATCH(N$2,Galerias!$A$2:$A$37,0))&lt;&gt;"",$A3&gt;INDEX(Galerias!$M$2:$M$37,MATCH(N$2,Galerias!$A$2:$A$37,0))),"",ROUND(INDEX(Galerias!$N$2:$N$37,MATCH(N$2,Galerias!$A$2:$A$37,0))*INDEX(Galerias!$O$2:$O$37,MATCH(N$2,Galerias!$A$2:$A$37,0))^($A3-1),0))</f>
        <v/>
      </c>
      <c r="O3" s="43">
        <f>IF(AND(INDEX(Galerias!$M$2:$M$37,MATCH(O$2,Galerias!$A$2:$A$37,0))&lt;&gt;"",$A3&gt;INDEX(Galerias!$M$2:$M$37,MATCH(O$2,Galerias!$A$2:$A$37,0))),"",ROUND(INDEX(Galerias!$N$2:$N$37,MATCH(O$2,Galerias!$A$2:$A$37,0))*INDEX(Galerias!$O$2:$O$37,MATCH(O$2,Galerias!$A$2:$A$37,0))^($A3-1),0))</f>
        <v/>
      </c>
      <c r="P3" s="43">
        <f>IF(AND(INDEX(Galerias!$M$2:$M$37,MATCH(P$2,Galerias!$A$2:$A$37,0))&lt;&gt;"",$A3&gt;INDEX(Galerias!$M$2:$M$37,MATCH(P$2,Galerias!$A$2:$A$37,0))),"",ROUND(INDEX(Galerias!$N$2:$N$37,MATCH(P$2,Galerias!$A$2:$A$37,0))*INDEX(Galerias!$O$2:$O$37,MATCH(P$2,Galerias!$A$2:$A$37,0))^($A3-1),0))</f>
        <v/>
      </c>
      <c r="Q3" s="43">
        <f>IF(AND(INDEX(Galerias!$M$2:$M$37,MATCH(Q$2,Galerias!$A$2:$A$37,0))&lt;&gt;"",$A3&gt;INDEX(Galerias!$M$2:$M$37,MATCH(Q$2,Galerias!$A$2:$A$37,0))),"",ROUND(INDEX(Galerias!$N$2:$N$37,MATCH(Q$2,Galerias!$A$2:$A$37,0))*INDEX(Galerias!$O$2:$O$37,MATCH(Q$2,Galerias!$A$2:$A$37,0))^($A3-1),0))</f>
        <v/>
      </c>
      <c r="R3" s="43">
        <f>IF(AND(INDEX(Galerias!$M$2:$M$37,MATCH(R$2,Galerias!$A$2:$A$37,0))&lt;&gt;"",$A3&gt;INDEX(Galerias!$M$2:$M$37,MATCH(R$2,Galerias!$A$2:$A$37,0))),"",ROUND(INDEX(Galerias!$N$2:$N$37,MATCH(R$2,Galerias!$A$2:$A$37,0))*INDEX(Galerias!$O$2:$O$37,MATCH(R$2,Galerias!$A$2:$A$37,0))^($A3-1),0))</f>
        <v/>
      </c>
      <c r="S3" s="43">
        <f>IF(AND(INDEX(Galerias!$M$2:$M$37,MATCH(S$2,Galerias!$A$2:$A$37,0))&lt;&gt;"",$A3&gt;INDEX(Galerias!$M$2:$M$37,MATCH(S$2,Galerias!$A$2:$A$37,0))),"",ROUND(INDEX(Galerias!$N$2:$N$37,MATCH(S$2,Galerias!$A$2:$A$37,0))*INDEX(Galerias!$O$2:$O$37,MATCH(S$2,Galerias!$A$2:$A$37,0))^($A3-1),0))</f>
        <v/>
      </c>
      <c r="T3" s="43">
        <f>IF(AND(INDEX(Galerias!$M$2:$M$37,MATCH(T$2,Galerias!$A$2:$A$37,0))&lt;&gt;"",$A3&gt;INDEX(Galerias!$M$2:$M$37,MATCH(T$2,Galerias!$A$2:$A$37,0))),"",ROUND(INDEX(Galerias!$N$2:$N$37,MATCH(T$2,Galerias!$A$2:$A$37,0))*INDEX(Galerias!$O$2:$O$37,MATCH(T$2,Galerias!$A$2:$A$37,0))^($A3-1),0))</f>
        <v/>
      </c>
      <c r="U3" s="43">
        <f>IF(AND(INDEX(Galerias!$M$2:$M$37,MATCH(U$2,Galerias!$A$2:$A$37,0))&lt;&gt;"",$A3&gt;INDEX(Galerias!$M$2:$M$37,MATCH(U$2,Galerias!$A$2:$A$37,0))),"",ROUND(INDEX(Galerias!$N$2:$N$37,MATCH(U$2,Galerias!$A$2:$A$37,0))*INDEX(Galerias!$O$2:$O$37,MATCH(U$2,Galerias!$A$2:$A$37,0))^($A3-1),0))</f>
        <v/>
      </c>
      <c r="V3" s="43">
        <f>IF(AND(INDEX(Galerias!$M$2:$M$37,MATCH(V$2,Galerias!$A$2:$A$37,0))&lt;&gt;"",$A3&gt;INDEX(Galerias!$M$2:$M$37,MATCH(V$2,Galerias!$A$2:$A$37,0))),"",ROUND(INDEX(Galerias!$N$2:$N$37,MATCH(V$2,Galerias!$A$2:$A$37,0))*INDEX(Galerias!$O$2:$O$37,MATCH(V$2,Galerias!$A$2:$A$37,0))^($A3-1),0))</f>
        <v/>
      </c>
      <c r="W3" s="43">
        <f>IF(AND(INDEX(Galerias!$M$2:$M$37,MATCH(W$2,Galerias!$A$2:$A$37,0))&lt;&gt;"",$A3&gt;INDEX(Galerias!$M$2:$M$37,MATCH(W$2,Galerias!$A$2:$A$37,0))),"",ROUND(INDEX(Galerias!$N$2:$N$37,MATCH(W$2,Galerias!$A$2:$A$37,0))*INDEX(Galerias!$O$2:$O$37,MATCH(W$2,Galerias!$A$2:$A$37,0))^($A3-1),0))</f>
        <v/>
      </c>
      <c r="X3" s="43">
        <f>IF(AND(INDEX(Galerias!$M$2:$M$37,MATCH(X$2,Galerias!$A$2:$A$37,0))&lt;&gt;"",$A3&gt;INDEX(Galerias!$M$2:$M$37,MATCH(X$2,Galerias!$A$2:$A$37,0))),"",ROUND(INDEX(Galerias!$N$2:$N$37,MATCH(X$2,Galerias!$A$2:$A$37,0))*INDEX(Galerias!$O$2:$O$37,MATCH(X$2,Galerias!$A$2:$A$37,0))^($A3-1),0))</f>
        <v/>
      </c>
      <c r="Y3" s="43">
        <f>IF(AND(INDEX(Galerias!$M$2:$M$37,MATCH(Y$2,Galerias!$A$2:$A$37,0))&lt;&gt;"",$A3&gt;INDEX(Galerias!$M$2:$M$37,MATCH(Y$2,Galerias!$A$2:$A$37,0))),"",ROUND(INDEX(Galerias!$N$2:$N$37,MATCH(Y$2,Galerias!$A$2:$A$37,0))*INDEX(Galerias!$O$2:$O$37,MATCH(Y$2,Galerias!$A$2:$A$37,0))^($A3-1),0))</f>
        <v/>
      </c>
      <c r="Z3" s="43">
        <f>IF(AND(INDEX(Galerias!$M$2:$M$37,MATCH(Z$2,Galerias!$A$2:$A$37,0))&lt;&gt;"",$A3&gt;INDEX(Galerias!$M$2:$M$37,MATCH(Z$2,Galerias!$A$2:$A$37,0))),"",ROUND(INDEX(Galerias!$N$2:$N$37,MATCH(Z$2,Galerias!$A$2:$A$37,0))*INDEX(Galerias!$O$2:$O$37,MATCH(Z$2,Galerias!$A$2:$A$37,0))^($A3-1),0))</f>
        <v/>
      </c>
      <c r="AA3" s="43">
        <f>IF(AND(INDEX(Galerias!$M$2:$M$37,MATCH(AA$2,Galerias!$A$2:$A$37,0))&lt;&gt;"",$A3&gt;INDEX(Galerias!$M$2:$M$37,MATCH(AA$2,Galerias!$A$2:$A$37,0))),"",ROUND(INDEX(Galerias!$N$2:$N$37,MATCH(AA$2,Galerias!$A$2:$A$37,0))*INDEX(Galerias!$O$2:$O$37,MATCH(AA$2,Galerias!$A$2:$A$37,0))^($A3-1),0))</f>
        <v/>
      </c>
      <c r="AB3" s="43">
        <f>IF(AND(INDEX(Galerias!$M$2:$M$37,MATCH(AB$2,Galerias!$A$2:$A$37,0))&lt;&gt;"",$A3&gt;INDEX(Galerias!$M$2:$M$37,MATCH(AB$2,Galerias!$A$2:$A$37,0))),"",ROUND(INDEX(Galerias!$N$2:$N$37,MATCH(AB$2,Galerias!$A$2:$A$37,0))*INDEX(Galerias!$O$2:$O$37,MATCH(AB$2,Galerias!$A$2:$A$37,0))^($A3-1),0))</f>
        <v/>
      </c>
      <c r="AC3" s="43">
        <f>IF(AND(INDEX(Galerias!$M$2:$M$37,MATCH(AC$2,Galerias!$A$2:$A$37,0))&lt;&gt;"",$A3&gt;INDEX(Galerias!$M$2:$M$37,MATCH(AC$2,Galerias!$A$2:$A$37,0))),"",ROUND(INDEX(Galerias!$N$2:$N$37,MATCH(AC$2,Galerias!$A$2:$A$37,0))*INDEX(Galerias!$O$2:$O$37,MATCH(AC$2,Galerias!$A$2:$A$37,0))^($A3-1),0))</f>
        <v/>
      </c>
      <c r="AD3" s="43">
        <f>IF(AND(INDEX(Galerias!$M$2:$M$37,MATCH(AD$2,Galerias!$A$2:$A$37,0))&lt;&gt;"",$A3&gt;INDEX(Galerias!$M$2:$M$37,MATCH(AD$2,Galerias!$A$2:$A$37,0))),"",ROUND(INDEX(Galerias!$N$2:$N$37,MATCH(AD$2,Galerias!$A$2:$A$37,0))*INDEX(Galerias!$O$2:$O$37,MATCH(AD$2,Galerias!$A$2:$A$37,0))^($A3-1),0))</f>
        <v/>
      </c>
      <c r="AE3" s="43">
        <f>IF(AND(INDEX(Galerias!$M$2:$M$37,MATCH(AE$2,Galerias!$A$2:$A$37,0))&lt;&gt;"",$A3&gt;INDEX(Galerias!$M$2:$M$37,MATCH(AE$2,Galerias!$A$2:$A$37,0))),"",ROUND(INDEX(Galerias!$N$2:$N$37,MATCH(AE$2,Galerias!$A$2:$A$37,0))*INDEX(Galerias!$O$2:$O$37,MATCH(AE$2,Galerias!$A$2:$A$37,0))^($A3-1),0))</f>
        <v/>
      </c>
      <c r="AF3" s="43">
        <f>IF(AND(INDEX(Galerias!$M$2:$M$37,MATCH(AF$2,Galerias!$A$2:$A$37,0))&lt;&gt;"",$A3&gt;INDEX(Galerias!$M$2:$M$37,MATCH(AF$2,Galerias!$A$2:$A$37,0))),"",ROUND(INDEX(Galerias!$N$2:$N$37,MATCH(AF$2,Galerias!$A$2:$A$37,0))*INDEX(Galerias!$O$2:$O$37,MATCH(AF$2,Galerias!$A$2:$A$37,0))^($A3-1),0))</f>
        <v/>
      </c>
      <c r="AG3" s="43">
        <f>IF(AND(INDEX(Galerias!$M$2:$M$37,MATCH(AG$2,Galerias!$A$2:$A$37,0))&lt;&gt;"",$A3&gt;INDEX(Galerias!$M$2:$M$37,MATCH(AG$2,Galerias!$A$2:$A$37,0))),"",ROUND(INDEX(Galerias!$N$2:$N$37,MATCH(AG$2,Galerias!$A$2:$A$37,0))*INDEX(Galerias!$O$2:$O$37,MATCH(AG$2,Galerias!$A$2:$A$37,0))^($A3-1),0))</f>
        <v/>
      </c>
      <c r="AH3" s="43">
        <f>IF(AND(INDEX(Galerias!$M$2:$M$37,MATCH(AH$2,Galerias!$A$2:$A$37,0))&lt;&gt;"",$A3&gt;INDEX(Galerias!$M$2:$M$37,MATCH(AH$2,Galerias!$A$2:$A$37,0))),"",ROUND(INDEX(Galerias!$N$2:$N$37,MATCH(AH$2,Galerias!$A$2:$A$37,0))*INDEX(Galerias!$O$2:$O$37,MATCH(AH$2,Galerias!$A$2:$A$37,0))^($A3-1),0))</f>
        <v/>
      </c>
      <c r="AI3" s="43">
        <f>IF(AND(INDEX(Galerias!$M$2:$M$37,MATCH(AI$2,Galerias!$A$2:$A$37,0))&lt;&gt;"",$A3&gt;INDEX(Galerias!$M$2:$M$37,MATCH(AI$2,Galerias!$A$2:$A$37,0))),"",ROUND(INDEX(Galerias!$N$2:$N$37,MATCH(AI$2,Galerias!$A$2:$A$37,0))*INDEX(Galerias!$O$2:$O$37,MATCH(AI$2,Galerias!$A$2:$A$37,0))^($A3-1),0))</f>
        <v/>
      </c>
      <c r="AJ3" s="43">
        <f>IF(AND(INDEX(Galerias!$M$2:$M$37,MATCH(AJ$2,Galerias!$A$2:$A$37,0))&lt;&gt;"",$A3&gt;INDEX(Galerias!$M$2:$M$37,MATCH(AJ$2,Galerias!$A$2:$A$37,0))),"",ROUND(INDEX(Galerias!$N$2:$N$37,MATCH(AJ$2,Galerias!$A$2:$A$37,0))*INDEX(Galerias!$O$2:$O$37,MATCH(AJ$2,Galerias!$A$2:$A$37,0))^($A3-1),0))</f>
        <v/>
      </c>
      <c r="AK3" s="43">
        <f>IF(AND(INDEX(Galerias!$M$2:$M$37,MATCH(AK$2,Galerias!$A$2:$A$37,0))&lt;&gt;"",$A3&gt;INDEX(Galerias!$M$2:$M$37,MATCH(AK$2,Galerias!$A$2:$A$37,0))),"",ROUND(INDEX(Galerias!$N$2:$N$37,MATCH(AK$2,Galerias!$A$2:$A$37,0))*INDEX(Galerias!$O$2:$O$37,MATCH(AK$2,Galerias!$A$2:$A$37,0))^($A3-1),0))</f>
        <v/>
      </c>
    </row>
    <row r="4" ht="15" customHeight="1" s="23">
      <c r="A4" s="25" t="n">
        <v>2</v>
      </c>
      <c r="B4" s="43">
        <f>IF(AND(INDEX(Galerias!$M$2:$M$37,MATCH(B$2,Galerias!$A$2:$A$37,0))&lt;&gt;"",$A4&gt;INDEX(Galerias!$M$2:$M$37,MATCH(B$2,Galerias!$A$2:$A$37,0))),"",ROUND(INDEX(Galerias!$N$2:$N$37,MATCH(B$2,Galerias!$A$2:$A$37,0))*INDEX(Galerias!$O$2:$O$37,MATCH(B$2,Galerias!$A$2:$A$37,0))^($A4-1),0))</f>
        <v/>
      </c>
      <c r="C4" s="43">
        <f>IF(AND(INDEX(Galerias!$M$2:$M$37,MATCH(C$2,Galerias!$A$2:$A$37,0))&lt;&gt;"",$A4&gt;INDEX(Galerias!$M$2:$M$37,MATCH(C$2,Galerias!$A$2:$A$37,0))),"",ROUND(INDEX(Galerias!$N$2:$N$37,MATCH(C$2,Galerias!$A$2:$A$37,0))*INDEX(Galerias!$O$2:$O$37,MATCH(C$2,Galerias!$A$2:$A$37,0))^($A4-1),0))</f>
        <v/>
      </c>
      <c r="D4" s="43">
        <f>IF(AND(INDEX(Galerias!$M$2:$M$37,MATCH(D$2,Galerias!$A$2:$A$37,0))&lt;&gt;"",$A4&gt;INDEX(Galerias!$M$2:$M$37,MATCH(D$2,Galerias!$A$2:$A$37,0))),"",ROUND(INDEX(Galerias!$N$2:$N$37,MATCH(D$2,Galerias!$A$2:$A$37,0))*INDEX(Galerias!$O$2:$O$37,MATCH(D$2,Galerias!$A$2:$A$37,0))^($A4-1),0))</f>
        <v/>
      </c>
      <c r="E4" s="43">
        <f>IF(AND(INDEX(Galerias!$M$2:$M$37,MATCH(E$2,Galerias!$A$2:$A$37,0))&lt;&gt;"",$A4&gt;INDEX(Galerias!$M$2:$M$37,MATCH(E$2,Galerias!$A$2:$A$37,0))),"",ROUND(INDEX(Galerias!$N$2:$N$37,MATCH(E$2,Galerias!$A$2:$A$37,0))*INDEX(Galerias!$O$2:$O$37,MATCH(E$2,Galerias!$A$2:$A$37,0))^($A4-1),0))</f>
        <v/>
      </c>
      <c r="F4" s="43">
        <f>IF(AND(INDEX(Galerias!$M$2:$M$37,MATCH(F$2,Galerias!$A$2:$A$37,0))&lt;&gt;"",$A4&gt;INDEX(Galerias!$M$2:$M$37,MATCH(F$2,Galerias!$A$2:$A$37,0))),"",ROUND(INDEX(Galerias!$N$2:$N$37,MATCH(F$2,Galerias!$A$2:$A$37,0))*INDEX(Galerias!$O$2:$O$37,MATCH(F$2,Galerias!$A$2:$A$37,0))^($A4-1),0))</f>
        <v/>
      </c>
      <c r="G4" s="43">
        <f>IF(AND(INDEX(Galerias!$M$2:$M$37,MATCH(G$2,Galerias!$A$2:$A$37,0))&lt;&gt;"",$A4&gt;INDEX(Galerias!$M$2:$M$37,MATCH(G$2,Galerias!$A$2:$A$37,0))),"",ROUND(INDEX(Galerias!$N$2:$N$37,MATCH(G$2,Galerias!$A$2:$A$37,0))*INDEX(Galerias!$O$2:$O$37,MATCH(G$2,Galerias!$A$2:$A$37,0))^($A4-1),0))</f>
        <v/>
      </c>
      <c r="H4" s="43">
        <f>IF(AND(INDEX(Galerias!$M$2:$M$37,MATCH(H$2,Galerias!$A$2:$A$37,0))&lt;&gt;"",$A4&gt;INDEX(Galerias!$M$2:$M$37,MATCH(H$2,Galerias!$A$2:$A$37,0))),"",ROUND(INDEX(Galerias!$N$2:$N$37,MATCH(H$2,Galerias!$A$2:$A$37,0))*INDEX(Galerias!$O$2:$O$37,MATCH(H$2,Galerias!$A$2:$A$37,0))^($A4-1),0))</f>
        <v/>
      </c>
      <c r="I4" s="43">
        <f>IF(AND(INDEX(Galerias!$M$2:$M$37,MATCH(I$2,Galerias!$A$2:$A$37,0))&lt;&gt;"",$A4&gt;INDEX(Galerias!$M$2:$M$37,MATCH(I$2,Galerias!$A$2:$A$37,0))),"",ROUND(INDEX(Galerias!$N$2:$N$37,MATCH(I$2,Galerias!$A$2:$A$37,0))*INDEX(Galerias!$O$2:$O$37,MATCH(I$2,Galerias!$A$2:$A$37,0))^($A4-1),0))</f>
        <v/>
      </c>
      <c r="J4" s="43">
        <f>IF(AND(INDEX(Galerias!$M$2:$M$37,MATCH(J$2,Galerias!$A$2:$A$37,0))&lt;&gt;"",$A4&gt;INDEX(Galerias!$M$2:$M$37,MATCH(J$2,Galerias!$A$2:$A$37,0))),"",ROUND(INDEX(Galerias!$N$2:$N$37,MATCH(J$2,Galerias!$A$2:$A$37,0))*INDEX(Galerias!$O$2:$O$37,MATCH(J$2,Galerias!$A$2:$A$37,0))^($A4-1),0))</f>
        <v/>
      </c>
      <c r="K4" s="43">
        <f>IF(AND(INDEX(Galerias!$M$2:$M$37,MATCH(K$2,Galerias!$A$2:$A$37,0))&lt;&gt;"",$A4&gt;INDEX(Galerias!$M$2:$M$37,MATCH(K$2,Galerias!$A$2:$A$37,0))),"",ROUND(INDEX(Galerias!$N$2:$N$37,MATCH(K$2,Galerias!$A$2:$A$37,0))*INDEX(Galerias!$O$2:$O$37,MATCH(K$2,Galerias!$A$2:$A$37,0))^($A4-1),0))</f>
        <v/>
      </c>
      <c r="L4" s="43">
        <f>IF(AND(INDEX(Galerias!$M$2:$M$37,MATCH(L$2,Galerias!$A$2:$A$37,0))&lt;&gt;"",$A4&gt;INDEX(Galerias!$M$2:$M$37,MATCH(L$2,Galerias!$A$2:$A$37,0))),"",ROUND(INDEX(Galerias!$N$2:$N$37,MATCH(L$2,Galerias!$A$2:$A$37,0))*INDEX(Galerias!$O$2:$O$37,MATCH(L$2,Galerias!$A$2:$A$37,0))^($A4-1),0))</f>
        <v/>
      </c>
      <c r="M4" s="43">
        <f>IF(AND(INDEX(Galerias!$M$2:$M$37,MATCH(M$2,Galerias!$A$2:$A$37,0))&lt;&gt;"",$A4&gt;INDEX(Galerias!$M$2:$M$37,MATCH(M$2,Galerias!$A$2:$A$37,0))),"",ROUND(INDEX(Galerias!$N$2:$N$37,MATCH(M$2,Galerias!$A$2:$A$37,0))*INDEX(Galerias!$O$2:$O$37,MATCH(M$2,Galerias!$A$2:$A$37,0))^($A4-1),0))</f>
        <v/>
      </c>
      <c r="N4" s="43">
        <f>IF(AND(INDEX(Galerias!$M$2:$M$37,MATCH(N$2,Galerias!$A$2:$A$37,0))&lt;&gt;"",$A4&gt;INDEX(Galerias!$M$2:$M$37,MATCH(N$2,Galerias!$A$2:$A$37,0))),"",ROUND(INDEX(Galerias!$N$2:$N$37,MATCH(N$2,Galerias!$A$2:$A$37,0))*INDEX(Galerias!$O$2:$O$37,MATCH(N$2,Galerias!$A$2:$A$37,0))^($A4-1),0))</f>
        <v/>
      </c>
      <c r="O4" s="43">
        <f>IF(AND(INDEX(Galerias!$M$2:$M$37,MATCH(O$2,Galerias!$A$2:$A$37,0))&lt;&gt;"",$A4&gt;INDEX(Galerias!$M$2:$M$37,MATCH(O$2,Galerias!$A$2:$A$37,0))),"",ROUND(INDEX(Galerias!$N$2:$N$37,MATCH(O$2,Galerias!$A$2:$A$37,0))*INDEX(Galerias!$O$2:$O$37,MATCH(O$2,Galerias!$A$2:$A$37,0))^($A4-1),0))</f>
        <v/>
      </c>
      <c r="P4" s="43">
        <f>IF(AND(INDEX(Galerias!$M$2:$M$37,MATCH(P$2,Galerias!$A$2:$A$37,0))&lt;&gt;"",$A4&gt;INDEX(Galerias!$M$2:$M$37,MATCH(P$2,Galerias!$A$2:$A$37,0))),"",ROUND(INDEX(Galerias!$N$2:$N$37,MATCH(P$2,Galerias!$A$2:$A$37,0))*INDEX(Galerias!$O$2:$O$37,MATCH(P$2,Galerias!$A$2:$A$37,0))^($A4-1),0))</f>
        <v/>
      </c>
      <c r="Q4" s="43">
        <f>IF(AND(INDEX(Galerias!$M$2:$M$37,MATCH(Q$2,Galerias!$A$2:$A$37,0))&lt;&gt;"",$A4&gt;INDEX(Galerias!$M$2:$M$37,MATCH(Q$2,Galerias!$A$2:$A$37,0))),"",ROUND(INDEX(Galerias!$N$2:$N$37,MATCH(Q$2,Galerias!$A$2:$A$37,0))*INDEX(Galerias!$O$2:$O$37,MATCH(Q$2,Galerias!$A$2:$A$37,0))^($A4-1),0))</f>
        <v/>
      </c>
      <c r="R4" s="43">
        <f>IF(AND(INDEX(Galerias!$M$2:$M$37,MATCH(R$2,Galerias!$A$2:$A$37,0))&lt;&gt;"",$A4&gt;INDEX(Galerias!$M$2:$M$37,MATCH(R$2,Galerias!$A$2:$A$37,0))),"",ROUND(INDEX(Galerias!$N$2:$N$37,MATCH(R$2,Galerias!$A$2:$A$37,0))*INDEX(Galerias!$O$2:$O$37,MATCH(R$2,Galerias!$A$2:$A$37,0))^($A4-1),0))</f>
        <v/>
      </c>
      <c r="S4" s="43">
        <f>IF(AND(INDEX(Galerias!$M$2:$M$37,MATCH(S$2,Galerias!$A$2:$A$37,0))&lt;&gt;"",$A4&gt;INDEX(Galerias!$M$2:$M$37,MATCH(S$2,Galerias!$A$2:$A$37,0))),"",ROUND(INDEX(Galerias!$N$2:$N$37,MATCH(S$2,Galerias!$A$2:$A$37,0))*INDEX(Galerias!$O$2:$O$37,MATCH(S$2,Galerias!$A$2:$A$37,0))^($A4-1),0))</f>
        <v/>
      </c>
      <c r="T4" s="43">
        <f>IF(AND(INDEX(Galerias!$M$2:$M$37,MATCH(T$2,Galerias!$A$2:$A$37,0))&lt;&gt;"",$A4&gt;INDEX(Galerias!$M$2:$M$37,MATCH(T$2,Galerias!$A$2:$A$37,0))),"",ROUND(INDEX(Galerias!$N$2:$N$37,MATCH(T$2,Galerias!$A$2:$A$37,0))*INDEX(Galerias!$O$2:$O$37,MATCH(T$2,Galerias!$A$2:$A$37,0))^($A4-1),0))</f>
        <v/>
      </c>
      <c r="U4" s="43">
        <f>IF(AND(INDEX(Galerias!$M$2:$M$37,MATCH(U$2,Galerias!$A$2:$A$37,0))&lt;&gt;"",$A4&gt;INDEX(Galerias!$M$2:$M$37,MATCH(U$2,Galerias!$A$2:$A$37,0))),"",ROUND(INDEX(Galerias!$N$2:$N$37,MATCH(U$2,Galerias!$A$2:$A$37,0))*INDEX(Galerias!$O$2:$O$37,MATCH(U$2,Galerias!$A$2:$A$37,0))^($A4-1),0))</f>
        <v/>
      </c>
      <c r="V4" s="43">
        <f>IF(AND(INDEX(Galerias!$M$2:$M$37,MATCH(V$2,Galerias!$A$2:$A$37,0))&lt;&gt;"",$A4&gt;INDEX(Galerias!$M$2:$M$37,MATCH(V$2,Galerias!$A$2:$A$37,0))),"",ROUND(INDEX(Galerias!$N$2:$N$37,MATCH(V$2,Galerias!$A$2:$A$37,0))*INDEX(Galerias!$O$2:$O$37,MATCH(V$2,Galerias!$A$2:$A$37,0))^($A4-1),0))</f>
        <v/>
      </c>
      <c r="W4" s="43">
        <f>IF(AND(INDEX(Galerias!$M$2:$M$37,MATCH(W$2,Galerias!$A$2:$A$37,0))&lt;&gt;"",$A4&gt;INDEX(Galerias!$M$2:$M$37,MATCH(W$2,Galerias!$A$2:$A$37,0))),"",ROUND(INDEX(Galerias!$N$2:$N$37,MATCH(W$2,Galerias!$A$2:$A$37,0))*INDEX(Galerias!$O$2:$O$37,MATCH(W$2,Galerias!$A$2:$A$37,0))^($A4-1),0))</f>
        <v/>
      </c>
      <c r="X4" s="43">
        <f>IF(AND(INDEX(Galerias!$M$2:$M$37,MATCH(X$2,Galerias!$A$2:$A$37,0))&lt;&gt;"",$A4&gt;INDEX(Galerias!$M$2:$M$37,MATCH(X$2,Galerias!$A$2:$A$37,0))),"",ROUND(INDEX(Galerias!$N$2:$N$37,MATCH(X$2,Galerias!$A$2:$A$37,0))*INDEX(Galerias!$O$2:$O$37,MATCH(X$2,Galerias!$A$2:$A$37,0))^($A4-1),0))</f>
        <v/>
      </c>
      <c r="Y4" s="43">
        <f>IF(AND(INDEX(Galerias!$M$2:$M$37,MATCH(Y$2,Galerias!$A$2:$A$37,0))&lt;&gt;"",$A4&gt;INDEX(Galerias!$M$2:$M$37,MATCH(Y$2,Galerias!$A$2:$A$37,0))),"",ROUND(INDEX(Galerias!$N$2:$N$37,MATCH(Y$2,Galerias!$A$2:$A$37,0))*INDEX(Galerias!$O$2:$O$37,MATCH(Y$2,Galerias!$A$2:$A$37,0))^($A4-1),0))</f>
        <v/>
      </c>
      <c r="Z4" s="43">
        <f>IF(AND(INDEX(Galerias!$M$2:$M$37,MATCH(Z$2,Galerias!$A$2:$A$37,0))&lt;&gt;"",$A4&gt;INDEX(Galerias!$M$2:$M$37,MATCH(Z$2,Galerias!$A$2:$A$37,0))),"",ROUND(INDEX(Galerias!$N$2:$N$37,MATCH(Z$2,Galerias!$A$2:$A$37,0))*INDEX(Galerias!$O$2:$O$37,MATCH(Z$2,Galerias!$A$2:$A$37,0))^($A4-1),0))</f>
        <v/>
      </c>
      <c r="AA4" s="43">
        <f>IF(AND(INDEX(Galerias!$M$2:$M$37,MATCH(AA$2,Galerias!$A$2:$A$37,0))&lt;&gt;"",$A4&gt;INDEX(Galerias!$M$2:$M$37,MATCH(AA$2,Galerias!$A$2:$A$37,0))),"",ROUND(INDEX(Galerias!$N$2:$N$37,MATCH(AA$2,Galerias!$A$2:$A$37,0))*INDEX(Galerias!$O$2:$O$37,MATCH(AA$2,Galerias!$A$2:$A$37,0))^($A4-1),0))</f>
        <v/>
      </c>
      <c r="AB4" s="43">
        <f>IF(AND(INDEX(Galerias!$M$2:$M$37,MATCH(AB$2,Galerias!$A$2:$A$37,0))&lt;&gt;"",$A4&gt;INDEX(Galerias!$M$2:$M$37,MATCH(AB$2,Galerias!$A$2:$A$37,0))),"",ROUND(INDEX(Galerias!$N$2:$N$37,MATCH(AB$2,Galerias!$A$2:$A$37,0))*INDEX(Galerias!$O$2:$O$37,MATCH(AB$2,Galerias!$A$2:$A$37,0))^($A4-1),0))</f>
        <v/>
      </c>
      <c r="AC4" s="43">
        <f>IF(AND(INDEX(Galerias!$M$2:$M$37,MATCH(AC$2,Galerias!$A$2:$A$37,0))&lt;&gt;"",$A4&gt;INDEX(Galerias!$M$2:$M$37,MATCH(AC$2,Galerias!$A$2:$A$37,0))),"",ROUND(INDEX(Galerias!$N$2:$N$37,MATCH(AC$2,Galerias!$A$2:$A$37,0))*INDEX(Galerias!$O$2:$O$37,MATCH(AC$2,Galerias!$A$2:$A$37,0))^($A4-1),0))</f>
        <v/>
      </c>
      <c r="AD4" s="43">
        <f>IF(AND(INDEX(Galerias!$M$2:$M$37,MATCH(AD$2,Galerias!$A$2:$A$37,0))&lt;&gt;"",$A4&gt;INDEX(Galerias!$M$2:$M$37,MATCH(AD$2,Galerias!$A$2:$A$37,0))),"",ROUND(INDEX(Galerias!$N$2:$N$37,MATCH(AD$2,Galerias!$A$2:$A$37,0))*INDEX(Galerias!$O$2:$O$37,MATCH(AD$2,Galerias!$A$2:$A$37,0))^($A4-1),0))</f>
        <v/>
      </c>
      <c r="AE4" s="43">
        <f>IF(AND(INDEX(Galerias!$M$2:$M$37,MATCH(AE$2,Galerias!$A$2:$A$37,0))&lt;&gt;"",$A4&gt;INDEX(Galerias!$M$2:$M$37,MATCH(AE$2,Galerias!$A$2:$A$37,0))),"",ROUND(INDEX(Galerias!$N$2:$N$37,MATCH(AE$2,Galerias!$A$2:$A$37,0))*INDEX(Galerias!$O$2:$O$37,MATCH(AE$2,Galerias!$A$2:$A$37,0))^($A4-1),0))</f>
        <v/>
      </c>
      <c r="AF4" s="43">
        <f>IF(AND(INDEX(Galerias!$M$2:$M$37,MATCH(AF$2,Galerias!$A$2:$A$37,0))&lt;&gt;"",$A4&gt;INDEX(Galerias!$M$2:$M$37,MATCH(AF$2,Galerias!$A$2:$A$37,0))),"",ROUND(INDEX(Galerias!$N$2:$N$37,MATCH(AF$2,Galerias!$A$2:$A$37,0))*INDEX(Galerias!$O$2:$O$37,MATCH(AF$2,Galerias!$A$2:$A$37,0))^($A4-1),0))</f>
        <v/>
      </c>
      <c r="AG4" s="43">
        <f>IF(AND(INDEX(Galerias!$M$2:$M$37,MATCH(AG$2,Galerias!$A$2:$A$37,0))&lt;&gt;"",$A4&gt;INDEX(Galerias!$M$2:$M$37,MATCH(AG$2,Galerias!$A$2:$A$37,0))),"",ROUND(INDEX(Galerias!$N$2:$N$37,MATCH(AG$2,Galerias!$A$2:$A$37,0))*INDEX(Galerias!$O$2:$O$37,MATCH(AG$2,Galerias!$A$2:$A$37,0))^($A4-1),0))</f>
        <v/>
      </c>
      <c r="AH4" s="43">
        <f>IF(AND(INDEX(Galerias!$M$2:$M$37,MATCH(AH$2,Galerias!$A$2:$A$37,0))&lt;&gt;"",$A4&gt;INDEX(Galerias!$M$2:$M$37,MATCH(AH$2,Galerias!$A$2:$A$37,0))),"",ROUND(INDEX(Galerias!$N$2:$N$37,MATCH(AH$2,Galerias!$A$2:$A$37,0))*INDEX(Galerias!$O$2:$O$37,MATCH(AH$2,Galerias!$A$2:$A$37,0))^($A4-1),0))</f>
        <v/>
      </c>
      <c r="AI4" s="43">
        <f>IF(AND(INDEX(Galerias!$M$2:$M$37,MATCH(AI$2,Galerias!$A$2:$A$37,0))&lt;&gt;"",$A4&gt;INDEX(Galerias!$M$2:$M$37,MATCH(AI$2,Galerias!$A$2:$A$37,0))),"",ROUND(INDEX(Galerias!$N$2:$N$37,MATCH(AI$2,Galerias!$A$2:$A$37,0))*INDEX(Galerias!$O$2:$O$37,MATCH(AI$2,Galerias!$A$2:$A$37,0))^($A4-1),0))</f>
        <v/>
      </c>
      <c r="AJ4" s="43">
        <f>IF(AND(INDEX(Galerias!$M$2:$M$37,MATCH(AJ$2,Galerias!$A$2:$A$37,0))&lt;&gt;"",$A4&gt;INDEX(Galerias!$M$2:$M$37,MATCH(AJ$2,Galerias!$A$2:$A$37,0))),"",ROUND(INDEX(Galerias!$N$2:$N$37,MATCH(AJ$2,Galerias!$A$2:$A$37,0))*INDEX(Galerias!$O$2:$O$37,MATCH(AJ$2,Galerias!$A$2:$A$37,0))^($A4-1),0))</f>
        <v/>
      </c>
      <c r="AK4" s="43">
        <f>IF(AND(INDEX(Galerias!$M$2:$M$37,MATCH(AK$2,Galerias!$A$2:$A$37,0))&lt;&gt;"",$A4&gt;INDEX(Galerias!$M$2:$M$37,MATCH(AK$2,Galerias!$A$2:$A$37,0))),"",ROUND(INDEX(Galerias!$N$2:$N$37,MATCH(AK$2,Galerias!$A$2:$A$37,0))*INDEX(Galerias!$O$2:$O$37,MATCH(AK$2,Galerias!$A$2:$A$37,0))^($A4-1),0))</f>
        <v/>
      </c>
    </row>
    <row r="5" ht="15" customHeight="1" s="23">
      <c r="A5" s="25" t="n">
        <v>3</v>
      </c>
      <c r="B5" s="43">
        <f>IF(AND(INDEX(Galerias!$M$2:$M$37,MATCH(B$2,Galerias!$A$2:$A$37,0))&lt;&gt;"",$A5&gt;INDEX(Galerias!$M$2:$M$37,MATCH(B$2,Galerias!$A$2:$A$37,0))),"",ROUND(INDEX(Galerias!$N$2:$N$37,MATCH(B$2,Galerias!$A$2:$A$37,0))*INDEX(Galerias!$O$2:$O$37,MATCH(B$2,Galerias!$A$2:$A$37,0))^($A5-1),0))</f>
        <v/>
      </c>
      <c r="C5" s="43">
        <f>IF(AND(INDEX(Galerias!$M$2:$M$37,MATCH(C$2,Galerias!$A$2:$A$37,0))&lt;&gt;"",$A5&gt;INDEX(Galerias!$M$2:$M$37,MATCH(C$2,Galerias!$A$2:$A$37,0))),"",ROUND(INDEX(Galerias!$N$2:$N$37,MATCH(C$2,Galerias!$A$2:$A$37,0))*INDEX(Galerias!$O$2:$O$37,MATCH(C$2,Galerias!$A$2:$A$37,0))^($A5-1),0))</f>
        <v/>
      </c>
      <c r="D5" s="43">
        <f>IF(AND(INDEX(Galerias!$M$2:$M$37,MATCH(D$2,Galerias!$A$2:$A$37,0))&lt;&gt;"",$A5&gt;INDEX(Galerias!$M$2:$M$37,MATCH(D$2,Galerias!$A$2:$A$37,0))),"",ROUND(INDEX(Galerias!$N$2:$N$37,MATCH(D$2,Galerias!$A$2:$A$37,0))*INDEX(Galerias!$O$2:$O$37,MATCH(D$2,Galerias!$A$2:$A$37,0))^($A5-1),0))</f>
        <v/>
      </c>
      <c r="E5" s="43">
        <f>IF(AND(INDEX(Galerias!$M$2:$M$37,MATCH(E$2,Galerias!$A$2:$A$37,0))&lt;&gt;"",$A5&gt;INDEX(Galerias!$M$2:$M$37,MATCH(E$2,Galerias!$A$2:$A$37,0))),"",ROUND(INDEX(Galerias!$N$2:$N$37,MATCH(E$2,Galerias!$A$2:$A$37,0))*INDEX(Galerias!$O$2:$O$37,MATCH(E$2,Galerias!$A$2:$A$37,0))^($A5-1),0))</f>
        <v/>
      </c>
      <c r="F5" s="43">
        <f>IF(AND(INDEX(Galerias!$M$2:$M$37,MATCH(F$2,Galerias!$A$2:$A$37,0))&lt;&gt;"",$A5&gt;INDEX(Galerias!$M$2:$M$37,MATCH(F$2,Galerias!$A$2:$A$37,0))),"",ROUND(INDEX(Galerias!$N$2:$N$37,MATCH(F$2,Galerias!$A$2:$A$37,0))*INDEX(Galerias!$O$2:$O$37,MATCH(F$2,Galerias!$A$2:$A$37,0))^($A5-1),0))</f>
        <v/>
      </c>
      <c r="G5" s="43">
        <f>IF(AND(INDEX(Galerias!$M$2:$M$37,MATCH(G$2,Galerias!$A$2:$A$37,0))&lt;&gt;"",$A5&gt;INDEX(Galerias!$M$2:$M$37,MATCH(G$2,Galerias!$A$2:$A$37,0))),"",ROUND(INDEX(Galerias!$N$2:$N$37,MATCH(G$2,Galerias!$A$2:$A$37,0))*INDEX(Galerias!$O$2:$O$37,MATCH(G$2,Galerias!$A$2:$A$37,0))^($A5-1),0))</f>
        <v/>
      </c>
      <c r="H5" s="43">
        <f>IF(AND(INDEX(Galerias!$M$2:$M$37,MATCH(H$2,Galerias!$A$2:$A$37,0))&lt;&gt;"",$A5&gt;INDEX(Galerias!$M$2:$M$37,MATCH(H$2,Galerias!$A$2:$A$37,0))),"",ROUND(INDEX(Galerias!$N$2:$N$37,MATCH(H$2,Galerias!$A$2:$A$37,0))*INDEX(Galerias!$O$2:$O$37,MATCH(H$2,Galerias!$A$2:$A$37,0))^($A5-1),0))</f>
        <v/>
      </c>
      <c r="I5" s="43">
        <f>IF(AND(INDEX(Galerias!$M$2:$M$37,MATCH(I$2,Galerias!$A$2:$A$37,0))&lt;&gt;"",$A5&gt;INDEX(Galerias!$M$2:$M$37,MATCH(I$2,Galerias!$A$2:$A$37,0))),"",ROUND(INDEX(Galerias!$N$2:$N$37,MATCH(I$2,Galerias!$A$2:$A$37,0))*INDEX(Galerias!$O$2:$O$37,MATCH(I$2,Galerias!$A$2:$A$37,0))^($A5-1),0))</f>
        <v/>
      </c>
      <c r="J5" s="43">
        <f>IF(AND(INDEX(Galerias!$M$2:$M$37,MATCH(J$2,Galerias!$A$2:$A$37,0))&lt;&gt;"",$A5&gt;INDEX(Galerias!$M$2:$M$37,MATCH(J$2,Galerias!$A$2:$A$37,0))),"",ROUND(INDEX(Galerias!$N$2:$N$37,MATCH(J$2,Galerias!$A$2:$A$37,0))*INDEX(Galerias!$O$2:$O$37,MATCH(J$2,Galerias!$A$2:$A$37,0))^($A5-1),0))</f>
        <v/>
      </c>
      <c r="K5" s="43">
        <f>IF(AND(INDEX(Galerias!$M$2:$M$37,MATCH(K$2,Galerias!$A$2:$A$37,0))&lt;&gt;"",$A5&gt;INDEX(Galerias!$M$2:$M$37,MATCH(K$2,Galerias!$A$2:$A$37,0))),"",ROUND(INDEX(Galerias!$N$2:$N$37,MATCH(K$2,Galerias!$A$2:$A$37,0))*INDEX(Galerias!$O$2:$O$37,MATCH(K$2,Galerias!$A$2:$A$37,0))^($A5-1),0))</f>
        <v/>
      </c>
      <c r="L5" s="43">
        <f>IF(AND(INDEX(Galerias!$M$2:$M$37,MATCH(L$2,Galerias!$A$2:$A$37,0))&lt;&gt;"",$A5&gt;INDEX(Galerias!$M$2:$M$37,MATCH(L$2,Galerias!$A$2:$A$37,0))),"",ROUND(INDEX(Galerias!$N$2:$N$37,MATCH(L$2,Galerias!$A$2:$A$37,0))*INDEX(Galerias!$O$2:$O$37,MATCH(L$2,Galerias!$A$2:$A$37,0))^($A5-1),0))</f>
        <v/>
      </c>
      <c r="M5" s="43">
        <f>IF(AND(INDEX(Galerias!$M$2:$M$37,MATCH(M$2,Galerias!$A$2:$A$37,0))&lt;&gt;"",$A5&gt;INDEX(Galerias!$M$2:$M$37,MATCH(M$2,Galerias!$A$2:$A$37,0))),"",ROUND(INDEX(Galerias!$N$2:$N$37,MATCH(M$2,Galerias!$A$2:$A$37,0))*INDEX(Galerias!$O$2:$O$37,MATCH(M$2,Galerias!$A$2:$A$37,0))^($A5-1),0))</f>
        <v/>
      </c>
      <c r="N5" s="43">
        <f>IF(AND(INDEX(Galerias!$M$2:$M$37,MATCH(N$2,Galerias!$A$2:$A$37,0))&lt;&gt;"",$A5&gt;INDEX(Galerias!$M$2:$M$37,MATCH(N$2,Galerias!$A$2:$A$37,0))),"",ROUND(INDEX(Galerias!$N$2:$N$37,MATCH(N$2,Galerias!$A$2:$A$37,0))*INDEX(Galerias!$O$2:$O$37,MATCH(N$2,Galerias!$A$2:$A$37,0))^($A5-1),0))</f>
        <v/>
      </c>
      <c r="O5" s="43">
        <f>IF(AND(INDEX(Galerias!$M$2:$M$37,MATCH(O$2,Galerias!$A$2:$A$37,0))&lt;&gt;"",$A5&gt;INDEX(Galerias!$M$2:$M$37,MATCH(O$2,Galerias!$A$2:$A$37,0))),"",ROUND(INDEX(Galerias!$N$2:$N$37,MATCH(O$2,Galerias!$A$2:$A$37,0))*INDEX(Galerias!$O$2:$O$37,MATCH(O$2,Galerias!$A$2:$A$37,0))^($A5-1),0))</f>
        <v/>
      </c>
      <c r="P5" s="43">
        <f>IF(AND(INDEX(Galerias!$M$2:$M$37,MATCH(P$2,Galerias!$A$2:$A$37,0))&lt;&gt;"",$A5&gt;INDEX(Galerias!$M$2:$M$37,MATCH(P$2,Galerias!$A$2:$A$37,0))),"",ROUND(INDEX(Galerias!$N$2:$N$37,MATCH(P$2,Galerias!$A$2:$A$37,0))*INDEX(Galerias!$O$2:$O$37,MATCH(P$2,Galerias!$A$2:$A$37,0))^($A5-1),0))</f>
        <v/>
      </c>
      <c r="Q5" s="43">
        <f>IF(AND(INDEX(Galerias!$M$2:$M$37,MATCH(Q$2,Galerias!$A$2:$A$37,0))&lt;&gt;"",$A5&gt;INDEX(Galerias!$M$2:$M$37,MATCH(Q$2,Galerias!$A$2:$A$37,0))),"",ROUND(INDEX(Galerias!$N$2:$N$37,MATCH(Q$2,Galerias!$A$2:$A$37,0))*INDEX(Galerias!$O$2:$O$37,MATCH(Q$2,Galerias!$A$2:$A$37,0))^($A5-1),0))</f>
        <v/>
      </c>
      <c r="R5" s="43">
        <f>IF(AND(INDEX(Galerias!$M$2:$M$37,MATCH(R$2,Galerias!$A$2:$A$37,0))&lt;&gt;"",$A5&gt;INDEX(Galerias!$M$2:$M$37,MATCH(R$2,Galerias!$A$2:$A$37,0))),"",ROUND(INDEX(Galerias!$N$2:$N$37,MATCH(R$2,Galerias!$A$2:$A$37,0))*INDEX(Galerias!$O$2:$O$37,MATCH(R$2,Galerias!$A$2:$A$37,0))^($A5-1),0))</f>
        <v/>
      </c>
      <c r="S5" s="43">
        <f>IF(AND(INDEX(Galerias!$M$2:$M$37,MATCH(S$2,Galerias!$A$2:$A$37,0))&lt;&gt;"",$A5&gt;INDEX(Galerias!$M$2:$M$37,MATCH(S$2,Galerias!$A$2:$A$37,0))),"",ROUND(INDEX(Galerias!$N$2:$N$37,MATCH(S$2,Galerias!$A$2:$A$37,0))*INDEX(Galerias!$O$2:$O$37,MATCH(S$2,Galerias!$A$2:$A$37,0))^($A5-1),0))</f>
        <v/>
      </c>
      <c r="T5" s="43">
        <f>IF(AND(INDEX(Galerias!$M$2:$M$37,MATCH(T$2,Galerias!$A$2:$A$37,0))&lt;&gt;"",$A5&gt;INDEX(Galerias!$M$2:$M$37,MATCH(T$2,Galerias!$A$2:$A$37,0))),"",ROUND(INDEX(Galerias!$N$2:$N$37,MATCH(T$2,Galerias!$A$2:$A$37,0))*INDEX(Galerias!$O$2:$O$37,MATCH(T$2,Galerias!$A$2:$A$37,0))^($A5-1),0))</f>
        <v/>
      </c>
      <c r="U5" s="43">
        <f>IF(AND(INDEX(Galerias!$M$2:$M$37,MATCH(U$2,Galerias!$A$2:$A$37,0))&lt;&gt;"",$A5&gt;INDEX(Galerias!$M$2:$M$37,MATCH(U$2,Galerias!$A$2:$A$37,0))),"",ROUND(INDEX(Galerias!$N$2:$N$37,MATCH(U$2,Galerias!$A$2:$A$37,0))*INDEX(Galerias!$O$2:$O$37,MATCH(U$2,Galerias!$A$2:$A$37,0))^($A5-1),0))</f>
        <v/>
      </c>
      <c r="V5" s="43">
        <f>IF(AND(INDEX(Galerias!$M$2:$M$37,MATCH(V$2,Galerias!$A$2:$A$37,0))&lt;&gt;"",$A5&gt;INDEX(Galerias!$M$2:$M$37,MATCH(V$2,Galerias!$A$2:$A$37,0))),"",ROUND(INDEX(Galerias!$N$2:$N$37,MATCH(V$2,Galerias!$A$2:$A$37,0))*INDEX(Galerias!$O$2:$O$37,MATCH(V$2,Galerias!$A$2:$A$37,0))^($A5-1),0))</f>
        <v/>
      </c>
      <c r="W5" s="43">
        <f>IF(AND(INDEX(Galerias!$M$2:$M$37,MATCH(W$2,Galerias!$A$2:$A$37,0))&lt;&gt;"",$A5&gt;INDEX(Galerias!$M$2:$M$37,MATCH(W$2,Galerias!$A$2:$A$37,0))),"",ROUND(INDEX(Galerias!$N$2:$N$37,MATCH(W$2,Galerias!$A$2:$A$37,0))*INDEX(Galerias!$O$2:$O$37,MATCH(W$2,Galerias!$A$2:$A$37,0))^($A5-1),0))</f>
        <v/>
      </c>
      <c r="X5" s="43">
        <f>IF(AND(INDEX(Galerias!$M$2:$M$37,MATCH(X$2,Galerias!$A$2:$A$37,0))&lt;&gt;"",$A5&gt;INDEX(Galerias!$M$2:$M$37,MATCH(X$2,Galerias!$A$2:$A$37,0))),"",ROUND(INDEX(Galerias!$N$2:$N$37,MATCH(X$2,Galerias!$A$2:$A$37,0))*INDEX(Galerias!$O$2:$O$37,MATCH(X$2,Galerias!$A$2:$A$37,0))^($A5-1),0))</f>
        <v/>
      </c>
      <c r="Y5" s="43">
        <f>IF(AND(INDEX(Galerias!$M$2:$M$37,MATCH(Y$2,Galerias!$A$2:$A$37,0))&lt;&gt;"",$A5&gt;INDEX(Galerias!$M$2:$M$37,MATCH(Y$2,Galerias!$A$2:$A$37,0))),"",ROUND(INDEX(Galerias!$N$2:$N$37,MATCH(Y$2,Galerias!$A$2:$A$37,0))*INDEX(Galerias!$O$2:$O$37,MATCH(Y$2,Galerias!$A$2:$A$37,0))^($A5-1),0))</f>
        <v/>
      </c>
      <c r="Z5" s="43">
        <f>IF(AND(INDEX(Galerias!$M$2:$M$37,MATCH(Z$2,Galerias!$A$2:$A$37,0))&lt;&gt;"",$A5&gt;INDEX(Galerias!$M$2:$M$37,MATCH(Z$2,Galerias!$A$2:$A$37,0))),"",ROUND(INDEX(Galerias!$N$2:$N$37,MATCH(Z$2,Galerias!$A$2:$A$37,0))*INDEX(Galerias!$O$2:$O$37,MATCH(Z$2,Galerias!$A$2:$A$37,0))^($A5-1),0))</f>
        <v/>
      </c>
      <c r="AA5" s="43">
        <f>IF(AND(INDEX(Galerias!$M$2:$M$37,MATCH(AA$2,Galerias!$A$2:$A$37,0))&lt;&gt;"",$A5&gt;INDEX(Galerias!$M$2:$M$37,MATCH(AA$2,Galerias!$A$2:$A$37,0))),"",ROUND(INDEX(Galerias!$N$2:$N$37,MATCH(AA$2,Galerias!$A$2:$A$37,0))*INDEX(Galerias!$O$2:$O$37,MATCH(AA$2,Galerias!$A$2:$A$37,0))^($A5-1),0))</f>
        <v/>
      </c>
      <c r="AB5" s="43">
        <f>IF(AND(INDEX(Galerias!$M$2:$M$37,MATCH(AB$2,Galerias!$A$2:$A$37,0))&lt;&gt;"",$A5&gt;INDEX(Galerias!$M$2:$M$37,MATCH(AB$2,Galerias!$A$2:$A$37,0))),"",ROUND(INDEX(Galerias!$N$2:$N$37,MATCH(AB$2,Galerias!$A$2:$A$37,0))*INDEX(Galerias!$O$2:$O$37,MATCH(AB$2,Galerias!$A$2:$A$37,0))^($A5-1),0))</f>
        <v/>
      </c>
      <c r="AC5" s="43">
        <f>IF(AND(INDEX(Galerias!$M$2:$M$37,MATCH(AC$2,Galerias!$A$2:$A$37,0))&lt;&gt;"",$A5&gt;INDEX(Galerias!$M$2:$M$37,MATCH(AC$2,Galerias!$A$2:$A$37,0))),"",ROUND(INDEX(Galerias!$N$2:$N$37,MATCH(AC$2,Galerias!$A$2:$A$37,0))*INDEX(Galerias!$O$2:$O$37,MATCH(AC$2,Galerias!$A$2:$A$37,0))^($A5-1),0))</f>
        <v/>
      </c>
      <c r="AD5" s="43">
        <f>IF(AND(INDEX(Galerias!$M$2:$M$37,MATCH(AD$2,Galerias!$A$2:$A$37,0))&lt;&gt;"",$A5&gt;INDEX(Galerias!$M$2:$M$37,MATCH(AD$2,Galerias!$A$2:$A$37,0))),"",ROUND(INDEX(Galerias!$N$2:$N$37,MATCH(AD$2,Galerias!$A$2:$A$37,0))*INDEX(Galerias!$O$2:$O$37,MATCH(AD$2,Galerias!$A$2:$A$37,0))^($A5-1),0))</f>
        <v/>
      </c>
      <c r="AE5" s="43">
        <f>IF(AND(INDEX(Galerias!$M$2:$M$37,MATCH(AE$2,Galerias!$A$2:$A$37,0))&lt;&gt;"",$A5&gt;INDEX(Galerias!$M$2:$M$37,MATCH(AE$2,Galerias!$A$2:$A$37,0))),"",ROUND(INDEX(Galerias!$N$2:$N$37,MATCH(AE$2,Galerias!$A$2:$A$37,0))*INDEX(Galerias!$O$2:$O$37,MATCH(AE$2,Galerias!$A$2:$A$37,0))^($A5-1),0))</f>
        <v/>
      </c>
      <c r="AF5" s="43">
        <f>IF(AND(INDEX(Galerias!$M$2:$M$37,MATCH(AF$2,Galerias!$A$2:$A$37,0))&lt;&gt;"",$A5&gt;INDEX(Galerias!$M$2:$M$37,MATCH(AF$2,Galerias!$A$2:$A$37,0))),"",ROUND(INDEX(Galerias!$N$2:$N$37,MATCH(AF$2,Galerias!$A$2:$A$37,0))*INDEX(Galerias!$O$2:$O$37,MATCH(AF$2,Galerias!$A$2:$A$37,0))^($A5-1),0))</f>
        <v/>
      </c>
      <c r="AG5" s="43">
        <f>IF(AND(INDEX(Galerias!$M$2:$M$37,MATCH(AG$2,Galerias!$A$2:$A$37,0))&lt;&gt;"",$A5&gt;INDEX(Galerias!$M$2:$M$37,MATCH(AG$2,Galerias!$A$2:$A$37,0))),"",ROUND(INDEX(Galerias!$N$2:$N$37,MATCH(AG$2,Galerias!$A$2:$A$37,0))*INDEX(Galerias!$O$2:$O$37,MATCH(AG$2,Galerias!$A$2:$A$37,0))^($A5-1),0))</f>
        <v/>
      </c>
      <c r="AH5" s="43">
        <f>IF(AND(INDEX(Galerias!$M$2:$M$37,MATCH(AH$2,Galerias!$A$2:$A$37,0))&lt;&gt;"",$A5&gt;INDEX(Galerias!$M$2:$M$37,MATCH(AH$2,Galerias!$A$2:$A$37,0))),"",ROUND(INDEX(Galerias!$N$2:$N$37,MATCH(AH$2,Galerias!$A$2:$A$37,0))*INDEX(Galerias!$O$2:$O$37,MATCH(AH$2,Galerias!$A$2:$A$37,0))^($A5-1),0))</f>
        <v/>
      </c>
      <c r="AI5" s="43">
        <f>IF(AND(INDEX(Galerias!$M$2:$M$37,MATCH(AI$2,Galerias!$A$2:$A$37,0))&lt;&gt;"",$A5&gt;INDEX(Galerias!$M$2:$M$37,MATCH(AI$2,Galerias!$A$2:$A$37,0))),"",ROUND(INDEX(Galerias!$N$2:$N$37,MATCH(AI$2,Galerias!$A$2:$A$37,0))*INDEX(Galerias!$O$2:$O$37,MATCH(AI$2,Galerias!$A$2:$A$37,0))^($A5-1),0))</f>
        <v/>
      </c>
      <c r="AJ5" s="43">
        <f>IF(AND(INDEX(Galerias!$M$2:$M$37,MATCH(AJ$2,Galerias!$A$2:$A$37,0))&lt;&gt;"",$A5&gt;INDEX(Galerias!$M$2:$M$37,MATCH(AJ$2,Galerias!$A$2:$A$37,0))),"",ROUND(INDEX(Galerias!$N$2:$N$37,MATCH(AJ$2,Galerias!$A$2:$A$37,0))*INDEX(Galerias!$O$2:$O$37,MATCH(AJ$2,Galerias!$A$2:$A$37,0))^($A5-1),0))</f>
        <v/>
      </c>
      <c r="AK5" s="43">
        <f>IF(AND(INDEX(Galerias!$M$2:$M$37,MATCH(AK$2,Galerias!$A$2:$A$37,0))&lt;&gt;"",$A5&gt;INDEX(Galerias!$M$2:$M$37,MATCH(AK$2,Galerias!$A$2:$A$37,0))),"",ROUND(INDEX(Galerias!$N$2:$N$37,MATCH(AK$2,Galerias!$A$2:$A$37,0))*INDEX(Galerias!$O$2:$O$37,MATCH(AK$2,Galerias!$A$2:$A$37,0))^($A5-1),0))</f>
        <v/>
      </c>
    </row>
    <row r="6" ht="15" customHeight="1" s="23">
      <c r="A6" s="25" t="n">
        <v>4</v>
      </c>
      <c r="B6" s="43">
        <f>IF(AND(INDEX(Galerias!$M$2:$M$37,MATCH(B$2,Galerias!$A$2:$A$37,0))&lt;&gt;"",$A6&gt;INDEX(Galerias!$M$2:$M$37,MATCH(B$2,Galerias!$A$2:$A$37,0))),"",ROUND(INDEX(Galerias!$N$2:$N$37,MATCH(B$2,Galerias!$A$2:$A$37,0))*INDEX(Galerias!$O$2:$O$37,MATCH(B$2,Galerias!$A$2:$A$37,0))^($A6-1),0))</f>
        <v/>
      </c>
      <c r="C6" s="43">
        <f>IF(AND(INDEX(Galerias!$M$2:$M$37,MATCH(C$2,Galerias!$A$2:$A$37,0))&lt;&gt;"",$A6&gt;INDEX(Galerias!$M$2:$M$37,MATCH(C$2,Galerias!$A$2:$A$37,0))),"",ROUND(INDEX(Galerias!$N$2:$N$37,MATCH(C$2,Galerias!$A$2:$A$37,0))*INDEX(Galerias!$O$2:$O$37,MATCH(C$2,Galerias!$A$2:$A$37,0))^($A6-1),0))</f>
        <v/>
      </c>
      <c r="D6" s="43">
        <f>IF(AND(INDEX(Galerias!$M$2:$M$37,MATCH(D$2,Galerias!$A$2:$A$37,0))&lt;&gt;"",$A6&gt;INDEX(Galerias!$M$2:$M$37,MATCH(D$2,Galerias!$A$2:$A$37,0))),"",ROUND(INDEX(Galerias!$N$2:$N$37,MATCH(D$2,Galerias!$A$2:$A$37,0))*INDEX(Galerias!$O$2:$O$37,MATCH(D$2,Galerias!$A$2:$A$37,0))^($A6-1),0))</f>
        <v/>
      </c>
      <c r="E6" s="43">
        <f>IF(AND(INDEX(Galerias!$M$2:$M$37,MATCH(E$2,Galerias!$A$2:$A$37,0))&lt;&gt;"",$A6&gt;INDEX(Galerias!$M$2:$M$37,MATCH(E$2,Galerias!$A$2:$A$37,0))),"",ROUND(INDEX(Galerias!$N$2:$N$37,MATCH(E$2,Galerias!$A$2:$A$37,0))*INDEX(Galerias!$O$2:$O$37,MATCH(E$2,Galerias!$A$2:$A$37,0))^($A6-1),0))</f>
        <v/>
      </c>
      <c r="F6" s="43">
        <f>IF(AND(INDEX(Galerias!$M$2:$M$37,MATCH(F$2,Galerias!$A$2:$A$37,0))&lt;&gt;"",$A6&gt;INDEX(Galerias!$M$2:$M$37,MATCH(F$2,Galerias!$A$2:$A$37,0))),"",ROUND(INDEX(Galerias!$N$2:$N$37,MATCH(F$2,Galerias!$A$2:$A$37,0))*INDEX(Galerias!$O$2:$O$37,MATCH(F$2,Galerias!$A$2:$A$37,0))^($A6-1),0))</f>
        <v/>
      </c>
      <c r="G6" s="43">
        <f>IF(AND(INDEX(Galerias!$M$2:$M$37,MATCH(G$2,Galerias!$A$2:$A$37,0))&lt;&gt;"",$A6&gt;INDEX(Galerias!$M$2:$M$37,MATCH(G$2,Galerias!$A$2:$A$37,0))),"",ROUND(INDEX(Galerias!$N$2:$N$37,MATCH(G$2,Galerias!$A$2:$A$37,0))*INDEX(Galerias!$O$2:$O$37,MATCH(G$2,Galerias!$A$2:$A$37,0))^($A6-1),0))</f>
        <v/>
      </c>
      <c r="H6" s="43">
        <f>IF(AND(INDEX(Galerias!$M$2:$M$37,MATCH(H$2,Galerias!$A$2:$A$37,0))&lt;&gt;"",$A6&gt;INDEX(Galerias!$M$2:$M$37,MATCH(H$2,Galerias!$A$2:$A$37,0))),"",ROUND(INDEX(Galerias!$N$2:$N$37,MATCH(H$2,Galerias!$A$2:$A$37,0))*INDEX(Galerias!$O$2:$O$37,MATCH(H$2,Galerias!$A$2:$A$37,0))^($A6-1),0))</f>
        <v/>
      </c>
      <c r="I6" s="43">
        <f>IF(AND(INDEX(Galerias!$M$2:$M$37,MATCH(I$2,Galerias!$A$2:$A$37,0))&lt;&gt;"",$A6&gt;INDEX(Galerias!$M$2:$M$37,MATCH(I$2,Galerias!$A$2:$A$37,0))),"",ROUND(INDEX(Galerias!$N$2:$N$37,MATCH(I$2,Galerias!$A$2:$A$37,0))*INDEX(Galerias!$O$2:$O$37,MATCH(I$2,Galerias!$A$2:$A$37,0))^($A6-1),0))</f>
        <v/>
      </c>
      <c r="J6" s="43">
        <f>IF(AND(INDEX(Galerias!$M$2:$M$37,MATCH(J$2,Galerias!$A$2:$A$37,0))&lt;&gt;"",$A6&gt;INDEX(Galerias!$M$2:$M$37,MATCH(J$2,Galerias!$A$2:$A$37,0))),"",ROUND(INDEX(Galerias!$N$2:$N$37,MATCH(J$2,Galerias!$A$2:$A$37,0))*INDEX(Galerias!$O$2:$O$37,MATCH(J$2,Galerias!$A$2:$A$37,0))^($A6-1),0))</f>
        <v/>
      </c>
      <c r="K6" s="43">
        <f>IF(AND(INDEX(Galerias!$M$2:$M$37,MATCH(K$2,Galerias!$A$2:$A$37,0))&lt;&gt;"",$A6&gt;INDEX(Galerias!$M$2:$M$37,MATCH(K$2,Galerias!$A$2:$A$37,0))),"",ROUND(INDEX(Galerias!$N$2:$N$37,MATCH(K$2,Galerias!$A$2:$A$37,0))*INDEX(Galerias!$O$2:$O$37,MATCH(K$2,Galerias!$A$2:$A$37,0))^($A6-1),0))</f>
        <v/>
      </c>
      <c r="L6" s="43">
        <f>IF(AND(INDEX(Galerias!$M$2:$M$37,MATCH(L$2,Galerias!$A$2:$A$37,0))&lt;&gt;"",$A6&gt;INDEX(Galerias!$M$2:$M$37,MATCH(L$2,Galerias!$A$2:$A$37,0))),"",ROUND(INDEX(Galerias!$N$2:$N$37,MATCH(L$2,Galerias!$A$2:$A$37,0))*INDEX(Galerias!$O$2:$O$37,MATCH(L$2,Galerias!$A$2:$A$37,0))^($A6-1),0))</f>
        <v/>
      </c>
      <c r="M6" s="43">
        <f>IF(AND(INDEX(Galerias!$M$2:$M$37,MATCH(M$2,Galerias!$A$2:$A$37,0))&lt;&gt;"",$A6&gt;INDEX(Galerias!$M$2:$M$37,MATCH(M$2,Galerias!$A$2:$A$37,0))),"",ROUND(INDEX(Galerias!$N$2:$N$37,MATCH(M$2,Galerias!$A$2:$A$37,0))*INDEX(Galerias!$O$2:$O$37,MATCH(M$2,Galerias!$A$2:$A$37,0))^($A6-1),0))</f>
        <v/>
      </c>
      <c r="N6" s="43">
        <f>IF(AND(INDEX(Galerias!$M$2:$M$37,MATCH(N$2,Galerias!$A$2:$A$37,0))&lt;&gt;"",$A6&gt;INDEX(Galerias!$M$2:$M$37,MATCH(N$2,Galerias!$A$2:$A$37,0))),"",ROUND(INDEX(Galerias!$N$2:$N$37,MATCH(N$2,Galerias!$A$2:$A$37,0))*INDEX(Galerias!$O$2:$O$37,MATCH(N$2,Galerias!$A$2:$A$37,0))^($A6-1),0))</f>
        <v/>
      </c>
      <c r="O6" s="43">
        <f>IF(AND(INDEX(Galerias!$M$2:$M$37,MATCH(O$2,Galerias!$A$2:$A$37,0))&lt;&gt;"",$A6&gt;INDEX(Galerias!$M$2:$M$37,MATCH(O$2,Galerias!$A$2:$A$37,0))),"",ROUND(INDEX(Galerias!$N$2:$N$37,MATCH(O$2,Galerias!$A$2:$A$37,0))*INDEX(Galerias!$O$2:$O$37,MATCH(O$2,Galerias!$A$2:$A$37,0))^($A6-1),0))</f>
        <v/>
      </c>
      <c r="P6" s="43">
        <f>IF(AND(INDEX(Galerias!$M$2:$M$37,MATCH(P$2,Galerias!$A$2:$A$37,0))&lt;&gt;"",$A6&gt;INDEX(Galerias!$M$2:$M$37,MATCH(P$2,Galerias!$A$2:$A$37,0))),"",ROUND(INDEX(Galerias!$N$2:$N$37,MATCH(P$2,Galerias!$A$2:$A$37,0))*INDEX(Galerias!$O$2:$O$37,MATCH(P$2,Galerias!$A$2:$A$37,0))^($A6-1),0))</f>
        <v/>
      </c>
      <c r="Q6" s="43">
        <f>IF(AND(INDEX(Galerias!$M$2:$M$37,MATCH(Q$2,Galerias!$A$2:$A$37,0))&lt;&gt;"",$A6&gt;INDEX(Galerias!$M$2:$M$37,MATCH(Q$2,Galerias!$A$2:$A$37,0))),"",ROUND(INDEX(Galerias!$N$2:$N$37,MATCH(Q$2,Galerias!$A$2:$A$37,0))*INDEX(Galerias!$O$2:$O$37,MATCH(Q$2,Galerias!$A$2:$A$37,0))^($A6-1),0))</f>
        <v/>
      </c>
      <c r="R6" s="43">
        <f>IF(AND(INDEX(Galerias!$M$2:$M$37,MATCH(R$2,Galerias!$A$2:$A$37,0))&lt;&gt;"",$A6&gt;INDEX(Galerias!$M$2:$M$37,MATCH(R$2,Galerias!$A$2:$A$37,0))),"",ROUND(INDEX(Galerias!$N$2:$N$37,MATCH(R$2,Galerias!$A$2:$A$37,0))*INDEX(Galerias!$O$2:$O$37,MATCH(R$2,Galerias!$A$2:$A$37,0))^($A6-1),0))</f>
        <v/>
      </c>
      <c r="S6" s="43">
        <f>IF(AND(INDEX(Galerias!$M$2:$M$37,MATCH(S$2,Galerias!$A$2:$A$37,0))&lt;&gt;"",$A6&gt;INDEX(Galerias!$M$2:$M$37,MATCH(S$2,Galerias!$A$2:$A$37,0))),"",ROUND(INDEX(Galerias!$N$2:$N$37,MATCH(S$2,Galerias!$A$2:$A$37,0))*INDEX(Galerias!$O$2:$O$37,MATCH(S$2,Galerias!$A$2:$A$37,0))^($A6-1),0))</f>
        <v/>
      </c>
      <c r="T6" s="43">
        <f>IF(AND(INDEX(Galerias!$M$2:$M$37,MATCH(T$2,Galerias!$A$2:$A$37,0))&lt;&gt;"",$A6&gt;INDEX(Galerias!$M$2:$M$37,MATCH(T$2,Galerias!$A$2:$A$37,0))),"",ROUND(INDEX(Galerias!$N$2:$N$37,MATCH(T$2,Galerias!$A$2:$A$37,0))*INDEX(Galerias!$O$2:$O$37,MATCH(T$2,Galerias!$A$2:$A$37,0))^($A6-1),0))</f>
        <v/>
      </c>
      <c r="U6" s="43">
        <f>IF(AND(INDEX(Galerias!$M$2:$M$37,MATCH(U$2,Galerias!$A$2:$A$37,0))&lt;&gt;"",$A6&gt;INDEX(Galerias!$M$2:$M$37,MATCH(U$2,Galerias!$A$2:$A$37,0))),"",ROUND(INDEX(Galerias!$N$2:$N$37,MATCH(U$2,Galerias!$A$2:$A$37,0))*INDEX(Galerias!$O$2:$O$37,MATCH(U$2,Galerias!$A$2:$A$37,0))^($A6-1),0))</f>
        <v/>
      </c>
      <c r="V6" s="43">
        <f>IF(AND(INDEX(Galerias!$M$2:$M$37,MATCH(V$2,Galerias!$A$2:$A$37,0))&lt;&gt;"",$A6&gt;INDEX(Galerias!$M$2:$M$37,MATCH(V$2,Galerias!$A$2:$A$37,0))),"",ROUND(INDEX(Galerias!$N$2:$N$37,MATCH(V$2,Galerias!$A$2:$A$37,0))*INDEX(Galerias!$O$2:$O$37,MATCH(V$2,Galerias!$A$2:$A$37,0))^($A6-1),0))</f>
        <v/>
      </c>
      <c r="W6" s="43">
        <f>IF(AND(INDEX(Galerias!$M$2:$M$37,MATCH(W$2,Galerias!$A$2:$A$37,0))&lt;&gt;"",$A6&gt;INDEX(Galerias!$M$2:$M$37,MATCH(W$2,Galerias!$A$2:$A$37,0))),"",ROUND(INDEX(Galerias!$N$2:$N$37,MATCH(W$2,Galerias!$A$2:$A$37,0))*INDEX(Galerias!$O$2:$O$37,MATCH(W$2,Galerias!$A$2:$A$37,0))^($A6-1),0))</f>
        <v/>
      </c>
      <c r="X6" s="43">
        <f>IF(AND(INDEX(Galerias!$M$2:$M$37,MATCH(X$2,Galerias!$A$2:$A$37,0))&lt;&gt;"",$A6&gt;INDEX(Galerias!$M$2:$M$37,MATCH(X$2,Galerias!$A$2:$A$37,0))),"",ROUND(INDEX(Galerias!$N$2:$N$37,MATCH(X$2,Galerias!$A$2:$A$37,0))*INDEX(Galerias!$O$2:$O$37,MATCH(X$2,Galerias!$A$2:$A$37,0))^($A6-1),0))</f>
        <v/>
      </c>
      <c r="Y6" s="43">
        <f>IF(AND(INDEX(Galerias!$M$2:$M$37,MATCH(Y$2,Galerias!$A$2:$A$37,0))&lt;&gt;"",$A6&gt;INDEX(Galerias!$M$2:$M$37,MATCH(Y$2,Galerias!$A$2:$A$37,0))),"",ROUND(INDEX(Galerias!$N$2:$N$37,MATCH(Y$2,Galerias!$A$2:$A$37,0))*INDEX(Galerias!$O$2:$O$37,MATCH(Y$2,Galerias!$A$2:$A$37,0))^($A6-1),0))</f>
        <v/>
      </c>
      <c r="Z6" s="43">
        <f>IF(AND(INDEX(Galerias!$M$2:$M$37,MATCH(Z$2,Galerias!$A$2:$A$37,0))&lt;&gt;"",$A6&gt;INDEX(Galerias!$M$2:$M$37,MATCH(Z$2,Galerias!$A$2:$A$37,0))),"",ROUND(INDEX(Galerias!$N$2:$N$37,MATCH(Z$2,Galerias!$A$2:$A$37,0))*INDEX(Galerias!$O$2:$O$37,MATCH(Z$2,Galerias!$A$2:$A$37,0))^($A6-1),0))</f>
        <v/>
      </c>
      <c r="AA6" s="43">
        <f>IF(AND(INDEX(Galerias!$M$2:$M$37,MATCH(AA$2,Galerias!$A$2:$A$37,0))&lt;&gt;"",$A6&gt;INDEX(Galerias!$M$2:$M$37,MATCH(AA$2,Galerias!$A$2:$A$37,0))),"",ROUND(INDEX(Galerias!$N$2:$N$37,MATCH(AA$2,Galerias!$A$2:$A$37,0))*INDEX(Galerias!$O$2:$O$37,MATCH(AA$2,Galerias!$A$2:$A$37,0))^($A6-1),0))</f>
        <v/>
      </c>
      <c r="AB6" s="43">
        <f>IF(AND(INDEX(Galerias!$M$2:$M$37,MATCH(AB$2,Galerias!$A$2:$A$37,0))&lt;&gt;"",$A6&gt;INDEX(Galerias!$M$2:$M$37,MATCH(AB$2,Galerias!$A$2:$A$37,0))),"",ROUND(INDEX(Galerias!$N$2:$N$37,MATCH(AB$2,Galerias!$A$2:$A$37,0))*INDEX(Galerias!$O$2:$O$37,MATCH(AB$2,Galerias!$A$2:$A$37,0))^($A6-1),0))</f>
        <v/>
      </c>
      <c r="AC6" s="43">
        <f>IF(AND(INDEX(Galerias!$M$2:$M$37,MATCH(AC$2,Galerias!$A$2:$A$37,0))&lt;&gt;"",$A6&gt;INDEX(Galerias!$M$2:$M$37,MATCH(AC$2,Galerias!$A$2:$A$37,0))),"",ROUND(INDEX(Galerias!$N$2:$N$37,MATCH(AC$2,Galerias!$A$2:$A$37,0))*INDEX(Galerias!$O$2:$O$37,MATCH(AC$2,Galerias!$A$2:$A$37,0))^($A6-1),0))</f>
        <v/>
      </c>
      <c r="AD6" s="43">
        <f>IF(AND(INDEX(Galerias!$M$2:$M$37,MATCH(AD$2,Galerias!$A$2:$A$37,0))&lt;&gt;"",$A6&gt;INDEX(Galerias!$M$2:$M$37,MATCH(AD$2,Galerias!$A$2:$A$37,0))),"",ROUND(INDEX(Galerias!$N$2:$N$37,MATCH(AD$2,Galerias!$A$2:$A$37,0))*INDEX(Galerias!$O$2:$O$37,MATCH(AD$2,Galerias!$A$2:$A$37,0))^($A6-1),0))</f>
        <v/>
      </c>
      <c r="AE6" s="43">
        <f>IF(AND(INDEX(Galerias!$M$2:$M$37,MATCH(AE$2,Galerias!$A$2:$A$37,0))&lt;&gt;"",$A6&gt;INDEX(Galerias!$M$2:$M$37,MATCH(AE$2,Galerias!$A$2:$A$37,0))),"",ROUND(INDEX(Galerias!$N$2:$N$37,MATCH(AE$2,Galerias!$A$2:$A$37,0))*INDEX(Galerias!$O$2:$O$37,MATCH(AE$2,Galerias!$A$2:$A$37,0))^($A6-1),0))</f>
        <v/>
      </c>
      <c r="AF6" s="43">
        <f>IF(AND(INDEX(Galerias!$M$2:$M$37,MATCH(AF$2,Galerias!$A$2:$A$37,0))&lt;&gt;"",$A6&gt;INDEX(Galerias!$M$2:$M$37,MATCH(AF$2,Galerias!$A$2:$A$37,0))),"",ROUND(INDEX(Galerias!$N$2:$N$37,MATCH(AF$2,Galerias!$A$2:$A$37,0))*INDEX(Galerias!$O$2:$O$37,MATCH(AF$2,Galerias!$A$2:$A$37,0))^($A6-1),0))</f>
        <v/>
      </c>
      <c r="AG6" s="43">
        <f>IF(AND(INDEX(Galerias!$M$2:$M$37,MATCH(AG$2,Galerias!$A$2:$A$37,0))&lt;&gt;"",$A6&gt;INDEX(Galerias!$M$2:$M$37,MATCH(AG$2,Galerias!$A$2:$A$37,0))),"",ROUND(INDEX(Galerias!$N$2:$N$37,MATCH(AG$2,Galerias!$A$2:$A$37,0))*INDEX(Galerias!$O$2:$O$37,MATCH(AG$2,Galerias!$A$2:$A$37,0))^($A6-1),0))</f>
        <v/>
      </c>
      <c r="AH6" s="43">
        <f>IF(AND(INDEX(Galerias!$M$2:$M$37,MATCH(AH$2,Galerias!$A$2:$A$37,0))&lt;&gt;"",$A6&gt;INDEX(Galerias!$M$2:$M$37,MATCH(AH$2,Galerias!$A$2:$A$37,0))),"",ROUND(INDEX(Galerias!$N$2:$N$37,MATCH(AH$2,Galerias!$A$2:$A$37,0))*INDEX(Galerias!$O$2:$O$37,MATCH(AH$2,Galerias!$A$2:$A$37,0))^($A6-1),0))</f>
        <v/>
      </c>
      <c r="AI6" s="43">
        <f>IF(AND(INDEX(Galerias!$M$2:$M$37,MATCH(AI$2,Galerias!$A$2:$A$37,0))&lt;&gt;"",$A6&gt;INDEX(Galerias!$M$2:$M$37,MATCH(AI$2,Galerias!$A$2:$A$37,0))),"",ROUND(INDEX(Galerias!$N$2:$N$37,MATCH(AI$2,Galerias!$A$2:$A$37,0))*INDEX(Galerias!$O$2:$O$37,MATCH(AI$2,Galerias!$A$2:$A$37,0))^($A6-1),0))</f>
        <v/>
      </c>
      <c r="AJ6" s="43">
        <f>IF(AND(INDEX(Galerias!$M$2:$M$37,MATCH(AJ$2,Galerias!$A$2:$A$37,0))&lt;&gt;"",$A6&gt;INDEX(Galerias!$M$2:$M$37,MATCH(AJ$2,Galerias!$A$2:$A$37,0))),"",ROUND(INDEX(Galerias!$N$2:$N$37,MATCH(AJ$2,Galerias!$A$2:$A$37,0))*INDEX(Galerias!$O$2:$O$37,MATCH(AJ$2,Galerias!$A$2:$A$37,0))^($A6-1),0))</f>
        <v/>
      </c>
      <c r="AK6" s="43">
        <f>IF(AND(INDEX(Galerias!$M$2:$M$37,MATCH(AK$2,Galerias!$A$2:$A$37,0))&lt;&gt;"",$A6&gt;INDEX(Galerias!$M$2:$M$37,MATCH(AK$2,Galerias!$A$2:$A$37,0))),"",ROUND(INDEX(Galerias!$N$2:$N$37,MATCH(AK$2,Galerias!$A$2:$A$37,0))*INDEX(Galerias!$O$2:$O$37,MATCH(AK$2,Galerias!$A$2:$A$37,0))^($A6-1),0))</f>
        <v/>
      </c>
    </row>
    <row r="7" ht="15" customHeight="1" s="23">
      <c r="A7" s="25" t="n">
        <v>5</v>
      </c>
      <c r="B7" s="43">
        <f>IF(AND(INDEX(Galerias!$M$2:$M$37,MATCH(B$2,Galerias!$A$2:$A$37,0))&lt;&gt;"",$A7&gt;INDEX(Galerias!$M$2:$M$37,MATCH(B$2,Galerias!$A$2:$A$37,0))),"",ROUND(INDEX(Galerias!$N$2:$N$37,MATCH(B$2,Galerias!$A$2:$A$37,0))*INDEX(Galerias!$O$2:$O$37,MATCH(B$2,Galerias!$A$2:$A$37,0))^($A7-1),0))</f>
        <v/>
      </c>
      <c r="C7" s="43">
        <f>IF(AND(INDEX(Galerias!$M$2:$M$37,MATCH(C$2,Galerias!$A$2:$A$37,0))&lt;&gt;"",$A7&gt;INDEX(Galerias!$M$2:$M$37,MATCH(C$2,Galerias!$A$2:$A$37,0))),"",ROUND(INDEX(Galerias!$N$2:$N$37,MATCH(C$2,Galerias!$A$2:$A$37,0))*INDEX(Galerias!$O$2:$O$37,MATCH(C$2,Galerias!$A$2:$A$37,0))^($A7-1),0))</f>
        <v/>
      </c>
      <c r="D7" s="43">
        <f>IF(AND(INDEX(Galerias!$M$2:$M$37,MATCH(D$2,Galerias!$A$2:$A$37,0))&lt;&gt;"",$A7&gt;INDEX(Galerias!$M$2:$M$37,MATCH(D$2,Galerias!$A$2:$A$37,0))),"",ROUND(INDEX(Galerias!$N$2:$N$37,MATCH(D$2,Galerias!$A$2:$A$37,0))*INDEX(Galerias!$O$2:$O$37,MATCH(D$2,Galerias!$A$2:$A$37,0))^($A7-1),0))</f>
        <v/>
      </c>
      <c r="E7" s="43">
        <f>IF(AND(INDEX(Galerias!$M$2:$M$37,MATCH(E$2,Galerias!$A$2:$A$37,0))&lt;&gt;"",$A7&gt;INDEX(Galerias!$M$2:$M$37,MATCH(E$2,Galerias!$A$2:$A$37,0))),"",ROUND(INDEX(Galerias!$N$2:$N$37,MATCH(E$2,Galerias!$A$2:$A$37,0))*INDEX(Galerias!$O$2:$O$37,MATCH(E$2,Galerias!$A$2:$A$37,0))^($A7-1),0))</f>
        <v/>
      </c>
      <c r="F7" s="43">
        <f>IF(AND(INDEX(Galerias!$M$2:$M$37,MATCH(F$2,Galerias!$A$2:$A$37,0))&lt;&gt;"",$A7&gt;INDEX(Galerias!$M$2:$M$37,MATCH(F$2,Galerias!$A$2:$A$37,0))),"",ROUND(INDEX(Galerias!$N$2:$N$37,MATCH(F$2,Galerias!$A$2:$A$37,0))*INDEX(Galerias!$O$2:$O$37,MATCH(F$2,Galerias!$A$2:$A$37,0))^($A7-1),0))</f>
        <v/>
      </c>
      <c r="G7" s="43">
        <f>IF(AND(INDEX(Galerias!$M$2:$M$37,MATCH(G$2,Galerias!$A$2:$A$37,0))&lt;&gt;"",$A7&gt;INDEX(Galerias!$M$2:$M$37,MATCH(G$2,Galerias!$A$2:$A$37,0))),"",ROUND(INDEX(Galerias!$N$2:$N$37,MATCH(G$2,Galerias!$A$2:$A$37,0))*INDEX(Galerias!$O$2:$O$37,MATCH(G$2,Galerias!$A$2:$A$37,0))^($A7-1),0))</f>
        <v/>
      </c>
      <c r="H7" s="43">
        <f>IF(AND(INDEX(Galerias!$M$2:$M$37,MATCH(H$2,Galerias!$A$2:$A$37,0))&lt;&gt;"",$A7&gt;INDEX(Galerias!$M$2:$M$37,MATCH(H$2,Galerias!$A$2:$A$37,0))),"",ROUND(INDEX(Galerias!$N$2:$N$37,MATCH(H$2,Galerias!$A$2:$A$37,0))*INDEX(Galerias!$O$2:$O$37,MATCH(H$2,Galerias!$A$2:$A$37,0))^($A7-1),0))</f>
        <v/>
      </c>
      <c r="I7" s="43">
        <f>IF(AND(INDEX(Galerias!$M$2:$M$37,MATCH(I$2,Galerias!$A$2:$A$37,0))&lt;&gt;"",$A7&gt;INDEX(Galerias!$M$2:$M$37,MATCH(I$2,Galerias!$A$2:$A$37,0))),"",ROUND(INDEX(Galerias!$N$2:$N$37,MATCH(I$2,Galerias!$A$2:$A$37,0))*INDEX(Galerias!$O$2:$O$37,MATCH(I$2,Galerias!$A$2:$A$37,0))^($A7-1),0))</f>
        <v/>
      </c>
      <c r="J7" s="43">
        <f>IF(AND(INDEX(Galerias!$M$2:$M$37,MATCH(J$2,Galerias!$A$2:$A$37,0))&lt;&gt;"",$A7&gt;INDEX(Galerias!$M$2:$M$37,MATCH(J$2,Galerias!$A$2:$A$37,0))),"",ROUND(INDEX(Galerias!$N$2:$N$37,MATCH(J$2,Galerias!$A$2:$A$37,0))*INDEX(Galerias!$O$2:$O$37,MATCH(J$2,Galerias!$A$2:$A$37,0))^($A7-1),0))</f>
        <v/>
      </c>
      <c r="K7" s="43">
        <f>IF(AND(INDEX(Galerias!$M$2:$M$37,MATCH(K$2,Galerias!$A$2:$A$37,0))&lt;&gt;"",$A7&gt;INDEX(Galerias!$M$2:$M$37,MATCH(K$2,Galerias!$A$2:$A$37,0))),"",ROUND(INDEX(Galerias!$N$2:$N$37,MATCH(K$2,Galerias!$A$2:$A$37,0))*INDEX(Galerias!$O$2:$O$37,MATCH(K$2,Galerias!$A$2:$A$37,0))^($A7-1),0))</f>
        <v/>
      </c>
      <c r="L7" s="43">
        <f>IF(AND(INDEX(Galerias!$M$2:$M$37,MATCH(L$2,Galerias!$A$2:$A$37,0))&lt;&gt;"",$A7&gt;INDEX(Galerias!$M$2:$M$37,MATCH(L$2,Galerias!$A$2:$A$37,0))),"",ROUND(INDEX(Galerias!$N$2:$N$37,MATCH(L$2,Galerias!$A$2:$A$37,0))*INDEX(Galerias!$O$2:$O$37,MATCH(L$2,Galerias!$A$2:$A$37,0))^($A7-1),0))</f>
        <v/>
      </c>
      <c r="M7" s="43">
        <f>IF(AND(INDEX(Galerias!$M$2:$M$37,MATCH(M$2,Galerias!$A$2:$A$37,0))&lt;&gt;"",$A7&gt;INDEX(Galerias!$M$2:$M$37,MATCH(M$2,Galerias!$A$2:$A$37,0))),"",ROUND(INDEX(Galerias!$N$2:$N$37,MATCH(M$2,Galerias!$A$2:$A$37,0))*INDEX(Galerias!$O$2:$O$37,MATCH(M$2,Galerias!$A$2:$A$37,0))^($A7-1),0))</f>
        <v/>
      </c>
      <c r="N7" s="43">
        <f>IF(AND(INDEX(Galerias!$M$2:$M$37,MATCH(N$2,Galerias!$A$2:$A$37,0))&lt;&gt;"",$A7&gt;INDEX(Galerias!$M$2:$M$37,MATCH(N$2,Galerias!$A$2:$A$37,0))),"",ROUND(INDEX(Galerias!$N$2:$N$37,MATCH(N$2,Galerias!$A$2:$A$37,0))*INDEX(Galerias!$O$2:$O$37,MATCH(N$2,Galerias!$A$2:$A$37,0))^($A7-1),0))</f>
        <v/>
      </c>
      <c r="O7" s="43">
        <f>IF(AND(INDEX(Galerias!$M$2:$M$37,MATCH(O$2,Galerias!$A$2:$A$37,0))&lt;&gt;"",$A7&gt;INDEX(Galerias!$M$2:$M$37,MATCH(O$2,Galerias!$A$2:$A$37,0))),"",ROUND(INDEX(Galerias!$N$2:$N$37,MATCH(O$2,Galerias!$A$2:$A$37,0))*INDEX(Galerias!$O$2:$O$37,MATCH(O$2,Galerias!$A$2:$A$37,0))^($A7-1),0))</f>
        <v/>
      </c>
      <c r="P7" s="43">
        <f>IF(AND(INDEX(Galerias!$M$2:$M$37,MATCH(P$2,Galerias!$A$2:$A$37,0))&lt;&gt;"",$A7&gt;INDEX(Galerias!$M$2:$M$37,MATCH(P$2,Galerias!$A$2:$A$37,0))),"",ROUND(INDEX(Galerias!$N$2:$N$37,MATCH(P$2,Galerias!$A$2:$A$37,0))*INDEX(Galerias!$O$2:$O$37,MATCH(P$2,Galerias!$A$2:$A$37,0))^($A7-1),0))</f>
        <v/>
      </c>
      <c r="Q7" s="43">
        <f>IF(AND(INDEX(Galerias!$M$2:$M$37,MATCH(Q$2,Galerias!$A$2:$A$37,0))&lt;&gt;"",$A7&gt;INDEX(Galerias!$M$2:$M$37,MATCH(Q$2,Galerias!$A$2:$A$37,0))),"",ROUND(INDEX(Galerias!$N$2:$N$37,MATCH(Q$2,Galerias!$A$2:$A$37,0))*INDEX(Galerias!$O$2:$O$37,MATCH(Q$2,Galerias!$A$2:$A$37,0))^($A7-1),0))</f>
        <v/>
      </c>
      <c r="R7" s="43">
        <f>IF(AND(INDEX(Galerias!$M$2:$M$37,MATCH(R$2,Galerias!$A$2:$A$37,0))&lt;&gt;"",$A7&gt;INDEX(Galerias!$M$2:$M$37,MATCH(R$2,Galerias!$A$2:$A$37,0))),"",ROUND(INDEX(Galerias!$N$2:$N$37,MATCH(R$2,Galerias!$A$2:$A$37,0))*INDEX(Galerias!$O$2:$O$37,MATCH(R$2,Galerias!$A$2:$A$37,0))^($A7-1),0))</f>
        <v/>
      </c>
      <c r="S7" s="43">
        <f>IF(AND(INDEX(Galerias!$M$2:$M$37,MATCH(S$2,Galerias!$A$2:$A$37,0))&lt;&gt;"",$A7&gt;INDEX(Galerias!$M$2:$M$37,MATCH(S$2,Galerias!$A$2:$A$37,0))),"",ROUND(INDEX(Galerias!$N$2:$N$37,MATCH(S$2,Galerias!$A$2:$A$37,0))*INDEX(Galerias!$O$2:$O$37,MATCH(S$2,Galerias!$A$2:$A$37,0))^($A7-1),0))</f>
        <v/>
      </c>
      <c r="T7" s="43">
        <f>IF(AND(INDEX(Galerias!$M$2:$M$37,MATCH(T$2,Galerias!$A$2:$A$37,0))&lt;&gt;"",$A7&gt;INDEX(Galerias!$M$2:$M$37,MATCH(T$2,Galerias!$A$2:$A$37,0))),"",ROUND(INDEX(Galerias!$N$2:$N$37,MATCH(T$2,Galerias!$A$2:$A$37,0))*INDEX(Galerias!$O$2:$O$37,MATCH(T$2,Galerias!$A$2:$A$37,0))^($A7-1),0))</f>
        <v/>
      </c>
      <c r="U7" s="43">
        <f>IF(AND(INDEX(Galerias!$M$2:$M$37,MATCH(U$2,Galerias!$A$2:$A$37,0))&lt;&gt;"",$A7&gt;INDEX(Galerias!$M$2:$M$37,MATCH(U$2,Galerias!$A$2:$A$37,0))),"",ROUND(INDEX(Galerias!$N$2:$N$37,MATCH(U$2,Galerias!$A$2:$A$37,0))*INDEX(Galerias!$O$2:$O$37,MATCH(U$2,Galerias!$A$2:$A$37,0))^($A7-1),0))</f>
        <v/>
      </c>
      <c r="V7" s="43">
        <f>IF(AND(INDEX(Galerias!$M$2:$M$37,MATCH(V$2,Galerias!$A$2:$A$37,0))&lt;&gt;"",$A7&gt;INDEX(Galerias!$M$2:$M$37,MATCH(V$2,Galerias!$A$2:$A$37,0))),"",ROUND(INDEX(Galerias!$N$2:$N$37,MATCH(V$2,Galerias!$A$2:$A$37,0))*INDEX(Galerias!$O$2:$O$37,MATCH(V$2,Galerias!$A$2:$A$37,0))^($A7-1),0))</f>
        <v/>
      </c>
      <c r="W7" s="43">
        <f>IF(AND(INDEX(Galerias!$M$2:$M$37,MATCH(W$2,Galerias!$A$2:$A$37,0))&lt;&gt;"",$A7&gt;INDEX(Galerias!$M$2:$M$37,MATCH(W$2,Galerias!$A$2:$A$37,0))),"",ROUND(INDEX(Galerias!$N$2:$N$37,MATCH(W$2,Galerias!$A$2:$A$37,0))*INDEX(Galerias!$O$2:$O$37,MATCH(W$2,Galerias!$A$2:$A$37,0))^($A7-1),0))</f>
        <v/>
      </c>
      <c r="X7" s="43">
        <f>IF(AND(INDEX(Galerias!$M$2:$M$37,MATCH(X$2,Galerias!$A$2:$A$37,0))&lt;&gt;"",$A7&gt;INDEX(Galerias!$M$2:$M$37,MATCH(X$2,Galerias!$A$2:$A$37,0))),"",ROUND(INDEX(Galerias!$N$2:$N$37,MATCH(X$2,Galerias!$A$2:$A$37,0))*INDEX(Galerias!$O$2:$O$37,MATCH(X$2,Galerias!$A$2:$A$37,0))^($A7-1),0))</f>
        <v/>
      </c>
      <c r="Y7" s="43">
        <f>IF(AND(INDEX(Galerias!$M$2:$M$37,MATCH(Y$2,Galerias!$A$2:$A$37,0))&lt;&gt;"",$A7&gt;INDEX(Galerias!$M$2:$M$37,MATCH(Y$2,Galerias!$A$2:$A$37,0))),"",ROUND(INDEX(Galerias!$N$2:$N$37,MATCH(Y$2,Galerias!$A$2:$A$37,0))*INDEX(Galerias!$O$2:$O$37,MATCH(Y$2,Galerias!$A$2:$A$37,0))^($A7-1),0))</f>
        <v/>
      </c>
      <c r="Z7" s="43">
        <f>IF(AND(INDEX(Galerias!$M$2:$M$37,MATCH(Z$2,Galerias!$A$2:$A$37,0))&lt;&gt;"",$A7&gt;INDEX(Galerias!$M$2:$M$37,MATCH(Z$2,Galerias!$A$2:$A$37,0))),"",ROUND(INDEX(Galerias!$N$2:$N$37,MATCH(Z$2,Galerias!$A$2:$A$37,0))*INDEX(Galerias!$O$2:$O$37,MATCH(Z$2,Galerias!$A$2:$A$37,0))^($A7-1),0))</f>
        <v/>
      </c>
      <c r="AA7" s="43">
        <f>IF(AND(INDEX(Galerias!$M$2:$M$37,MATCH(AA$2,Galerias!$A$2:$A$37,0))&lt;&gt;"",$A7&gt;INDEX(Galerias!$M$2:$M$37,MATCH(AA$2,Galerias!$A$2:$A$37,0))),"",ROUND(INDEX(Galerias!$N$2:$N$37,MATCH(AA$2,Galerias!$A$2:$A$37,0))*INDEX(Galerias!$O$2:$O$37,MATCH(AA$2,Galerias!$A$2:$A$37,0))^($A7-1),0))</f>
        <v/>
      </c>
      <c r="AB7" s="43">
        <f>IF(AND(INDEX(Galerias!$M$2:$M$37,MATCH(AB$2,Galerias!$A$2:$A$37,0))&lt;&gt;"",$A7&gt;INDEX(Galerias!$M$2:$M$37,MATCH(AB$2,Galerias!$A$2:$A$37,0))),"",ROUND(INDEX(Galerias!$N$2:$N$37,MATCH(AB$2,Galerias!$A$2:$A$37,0))*INDEX(Galerias!$O$2:$O$37,MATCH(AB$2,Galerias!$A$2:$A$37,0))^($A7-1),0))</f>
        <v/>
      </c>
      <c r="AC7" s="43">
        <f>IF(AND(INDEX(Galerias!$M$2:$M$37,MATCH(AC$2,Galerias!$A$2:$A$37,0))&lt;&gt;"",$A7&gt;INDEX(Galerias!$M$2:$M$37,MATCH(AC$2,Galerias!$A$2:$A$37,0))),"",ROUND(INDEX(Galerias!$N$2:$N$37,MATCH(AC$2,Galerias!$A$2:$A$37,0))*INDEX(Galerias!$O$2:$O$37,MATCH(AC$2,Galerias!$A$2:$A$37,0))^($A7-1),0))</f>
        <v/>
      </c>
      <c r="AD7" s="43">
        <f>IF(AND(INDEX(Galerias!$M$2:$M$37,MATCH(AD$2,Galerias!$A$2:$A$37,0))&lt;&gt;"",$A7&gt;INDEX(Galerias!$M$2:$M$37,MATCH(AD$2,Galerias!$A$2:$A$37,0))),"",ROUND(INDEX(Galerias!$N$2:$N$37,MATCH(AD$2,Galerias!$A$2:$A$37,0))*INDEX(Galerias!$O$2:$O$37,MATCH(AD$2,Galerias!$A$2:$A$37,0))^($A7-1),0))</f>
        <v/>
      </c>
      <c r="AE7" s="43">
        <f>IF(AND(INDEX(Galerias!$M$2:$M$37,MATCH(AE$2,Galerias!$A$2:$A$37,0))&lt;&gt;"",$A7&gt;INDEX(Galerias!$M$2:$M$37,MATCH(AE$2,Galerias!$A$2:$A$37,0))),"",ROUND(INDEX(Galerias!$N$2:$N$37,MATCH(AE$2,Galerias!$A$2:$A$37,0))*INDEX(Galerias!$O$2:$O$37,MATCH(AE$2,Galerias!$A$2:$A$37,0))^($A7-1),0))</f>
        <v/>
      </c>
      <c r="AF7" s="43">
        <f>IF(AND(INDEX(Galerias!$M$2:$M$37,MATCH(AF$2,Galerias!$A$2:$A$37,0))&lt;&gt;"",$A7&gt;INDEX(Galerias!$M$2:$M$37,MATCH(AF$2,Galerias!$A$2:$A$37,0))),"",ROUND(INDEX(Galerias!$N$2:$N$37,MATCH(AF$2,Galerias!$A$2:$A$37,0))*INDEX(Galerias!$O$2:$O$37,MATCH(AF$2,Galerias!$A$2:$A$37,0))^($A7-1),0))</f>
        <v/>
      </c>
      <c r="AG7" s="43">
        <f>IF(AND(INDEX(Galerias!$M$2:$M$37,MATCH(AG$2,Galerias!$A$2:$A$37,0))&lt;&gt;"",$A7&gt;INDEX(Galerias!$M$2:$M$37,MATCH(AG$2,Galerias!$A$2:$A$37,0))),"",ROUND(INDEX(Galerias!$N$2:$N$37,MATCH(AG$2,Galerias!$A$2:$A$37,0))*INDEX(Galerias!$O$2:$O$37,MATCH(AG$2,Galerias!$A$2:$A$37,0))^($A7-1),0))</f>
        <v/>
      </c>
      <c r="AH7" s="43">
        <f>IF(AND(INDEX(Galerias!$M$2:$M$37,MATCH(AH$2,Galerias!$A$2:$A$37,0))&lt;&gt;"",$A7&gt;INDEX(Galerias!$M$2:$M$37,MATCH(AH$2,Galerias!$A$2:$A$37,0))),"",ROUND(INDEX(Galerias!$N$2:$N$37,MATCH(AH$2,Galerias!$A$2:$A$37,0))*INDEX(Galerias!$O$2:$O$37,MATCH(AH$2,Galerias!$A$2:$A$37,0))^($A7-1),0))</f>
        <v/>
      </c>
      <c r="AI7" s="43">
        <f>IF(AND(INDEX(Galerias!$M$2:$M$37,MATCH(AI$2,Galerias!$A$2:$A$37,0))&lt;&gt;"",$A7&gt;INDEX(Galerias!$M$2:$M$37,MATCH(AI$2,Galerias!$A$2:$A$37,0))),"",ROUND(INDEX(Galerias!$N$2:$N$37,MATCH(AI$2,Galerias!$A$2:$A$37,0))*INDEX(Galerias!$O$2:$O$37,MATCH(AI$2,Galerias!$A$2:$A$37,0))^($A7-1),0))</f>
        <v/>
      </c>
      <c r="AJ7" s="43">
        <f>IF(AND(INDEX(Galerias!$M$2:$M$37,MATCH(AJ$2,Galerias!$A$2:$A$37,0))&lt;&gt;"",$A7&gt;INDEX(Galerias!$M$2:$M$37,MATCH(AJ$2,Galerias!$A$2:$A$37,0))),"",ROUND(INDEX(Galerias!$N$2:$N$37,MATCH(AJ$2,Galerias!$A$2:$A$37,0))*INDEX(Galerias!$O$2:$O$37,MATCH(AJ$2,Galerias!$A$2:$A$37,0))^($A7-1),0))</f>
        <v/>
      </c>
      <c r="AK7" s="43">
        <f>IF(AND(INDEX(Galerias!$M$2:$M$37,MATCH(AK$2,Galerias!$A$2:$A$37,0))&lt;&gt;"",$A7&gt;INDEX(Galerias!$M$2:$M$37,MATCH(AK$2,Galerias!$A$2:$A$37,0))),"",ROUND(INDEX(Galerias!$N$2:$N$37,MATCH(AK$2,Galerias!$A$2:$A$37,0))*INDEX(Galerias!$O$2:$O$37,MATCH(AK$2,Galerias!$A$2:$A$37,0))^($A7-1),0))</f>
        <v/>
      </c>
    </row>
    <row r="8" ht="15" customHeight="1" s="23">
      <c r="A8" s="25" t="n">
        <v>6</v>
      </c>
      <c r="B8" s="43">
        <f>IF(AND(INDEX(Galerias!$M$2:$M$37,MATCH(B$2,Galerias!$A$2:$A$37,0))&lt;&gt;"",$A8&gt;INDEX(Galerias!$M$2:$M$37,MATCH(B$2,Galerias!$A$2:$A$37,0))),"",ROUND(INDEX(Galerias!$N$2:$N$37,MATCH(B$2,Galerias!$A$2:$A$37,0))*INDEX(Galerias!$O$2:$O$37,MATCH(B$2,Galerias!$A$2:$A$37,0))^($A8-1),0))</f>
        <v/>
      </c>
      <c r="C8" s="43">
        <f>IF(AND(INDEX(Galerias!$M$2:$M$37,MATCH(C$2,Galerias!$A$2:$A$37,0))&lt;&gt;"",$A8&gt;INDEX(Galerias!$M$2:$M$37,MATCH(C$2,Galerias!$A$2:$A$37,0))),"",ROUND(INDEX(Galerias!$N$2:$N$37,MATCH(C$2,Galerias!$A$2:$A$37,0))*INDEX(Galerias!$O$2:$O$37,MATCH(C$2,Galerias!$A$2:$A$37,0))^($A8-1),0))</f>
        <v/>
      </c>
      <c r="D8" s="43">
        <f>IF(AND(INDEX(Galerias!$M$2:$M$37,MATCH(D$2,Galerias!$A$2:$A$37,0))&lt;&gt;"",$A8&gt;INDEX(Galerias!$M$2:$M$37,MATCH(D$2,Galerias!$A$2:$A$37,0))),"",ROUND(INDEX(Galerias!$N$2:$N$37,MATCH(D$2,Galerias!$A$2:$A$37,0))*INDEX(Galerias!$O$2:$O$37,MATCH(D$2,Galerias!$A$2:$A$37,0))^($A8-1),0))</f>
        <v/>
      </c>
      <c r="E8" s="43">
        <f>IF(AND(INDEX(Galerias!$M$2:$M$37,MATCH(E$2,Galerias!$A$2:$A$37,0))&lt;&gt;"",$A8&gt;INDEX(Galerias!$M$2:$M$37,MATCH(E$2,Galerias!$A$2:$A$37,0))),"",ROUND(INDEX(Galerias!$N$2:$N$37,MATCH(E$2,Galerias!$A$2:$A$37,0))*INDEX(Galerias!$O$2:$O$37,MATCH(E$2,Galerias!$A$2:$A$37,0))^($A8-1),0))</f>
        <v/>
      </c>
      <c r="F8" s="43">
        <f>IF(AND(INDEX(Galerias!$M$2:$M$37,MATCH(F$2,Galerias!$A$2:$A$37,0))&lt;&gt;"",$A8&gt;INDEX(Galerias!$M$2:$M$37,MATCH(F$2,Galerias!$A$2:$A$37,0))),"",ROUND(INDEX(Galerias!$N$2:$N$37,MATCH(F$2,Galerias!$A$2:$A$37,0))*INDEX(Galerias!$O$2:$O$37,MATCH(F$2,Galerias!$A$2:$A$37,0))^($A8-1),0))</f>
        <v/>
      </c>
      <c r="G8" s="43">
        <f>IF(AND(INDEX(Galerias!$M$2:$M$37,MATCH(G$2,Galerias!$A$2:$A$37,0))&lt;&gt;"",$A8&gt;INDEX(Galerias!$M$2:$M$37,MATCH(G$2,Galerias!$A$2:$A$37,0))),"",ROUND(INDEX(Galerias!$N$2:$N$37,MATCH(G$2,Galerias!$A$2:$A$37,0))*INDEX(Galerias!$O$2:$O$37,MATCH(G$2,Galerias!$A$2:$A$37,0))^($A8-1),0))</f>
        <v/>
      </c>
      <c r="H8" s="43">
        <f>IF(AND(INDEX(Galerias!$M$2:$M$37,MATCH(H$2,Galerias!$A$2:$A$37,0))&lt;&gt;"",$A8&gt;INDEX(Galerias!$M$2:$M$37,MATCH(H$2,Galerias!$A$2:$A$37,0))),"",ROUND(INDEX(Galerias!$N$2:$N$37,MATCH(H$2,Galerias!$A$2:$A$37,0))*INDEX(Galerias!$O$2:$O$37,MATCH(H$2,Galerias!$A$2:$A$37,0))^($A8-1),0))</f>
        <v/>
      </c>
      <c r="I8" s="43">
        <f>IF(AND(INDEX(Galerias!$M$2:$M$37,MATCH(I$2,Galerias!$A$2:$A$37,0))&lt;&gt;"",$A8&gt;INDEX(Galerias!$M$2:$M$37,MATCH(I$2,Galerias!$A$2:$A$37,0))),"",ROUND(INDEX(Galerias!$N$2:$N$37,MATCH(I$2,Galerias!$A$2:$A$37,0))*INDEX(Galerias!$O$2:$O$37,MATCH(I$2,Galerias!$A$2:$A$37,0))^($A8-1),0))</f>
        <v/>
      </c>
      <c r="J8" s="43">
        <f>IF(AND(INDEX(Galerias!$M$2:$M$37,MATCH(J$2,Galerias!$A$2:$A$37,0))&lt;&gt;"",$A8&gt;INDEX(Galerias!$M$2:$M$37,MATCH(J$2,Galerias!$A$2:$A$37,0))),"",ROUND(INDEX(Galerias!$N$2:$N$37,MATCH(J$2,Galerias!$A$2:$A$37,0))*INDEX(Galerias!$O$2:$O$37,MATCH(J$2,Galerias!$A$2:$A$37,0))^($A8-1),0))</f>
        <v/>
      </c>
      <c r="K8" s="43">
        <f>IF(AND(INDEX(Galerias!$M$2:$M$37,MATCH(K$2,Galerias!$A$2:$A$37,0))&lt;&gt;"",$A8&gt;INDEX(Galerias!$M$2:$M$37,MATCH(K$2,Galerias!$A$2:$A$37,0))),"",ROUND(INDEX(Galerias!$N$2:$N$37,MATCH(K$2,Galerias!$A$2:$A$37,0))*INDEX(Galerias!$O$2:$O$37,MATCH(K$2,Galerias!$A$2:$A$37,0))^($A8-1),0))</f>
        <v/>
      </c>
      <c r="L8" s="43">
        <f>IF(AND(INDEX(Galerias!$M$2:$M$37,MATCH(L$2,Galerias!$A$2:$A$37,0))&lt;&gt;"",$A8&gt;INDEX(Galerias!$M$2:$M$37,MATCH(L$2,Galerias!$A$2:$A$37,0))),"",ROUND(INDEX(Galerias!$N$2:$N$37,MATCH(L$2,Galerias!$A$2:$A$37,0))*INDEX(Galerias!$O$2:$O$37,MATCH(L$2,Galerias!$A$2:$A$37,0))^($A8-1),0))</f>
        <v/>
      </c>
      <c r="M8" s="43">
        <f>IF(AND(INDEX(Galerias!$M$2:$M$37,MATCH(M$2,Galerias!$A$2:$A$37,0))&lt;&gt;"",$A8&gt;INDEX(Galerias!$M$2:$M$37,MATCH(M$2,Galerias!$A$2:$A$37,0))),"",ROUND(INDEX(Galerias!$N$2:$N$37,MATCH(M$2,Galerias!$A$2:$A$37,0))*INDEX(Galerias!$O$2:$O$37,MATCH(M$2,Galerias!$A$2:$A$37,0))^($A8-1),0))</f>
        <v/>
      </c>
      <c r="N8" s="43">
        <f>IF(AND(INDEX(Galerias!$M$2:$M$37,MATCH(N$2,Galerias!$A$2:$A$37,0))&lt;&gt;"",$A8&gt;INDEX(Galerias!$M$2:$M$37,MATCH(N$2,Galerias!$A$2:$A$37,0))),"",ROUND(INDEX(Galerias!$N$2:$N$37,MATCH(N$2,Galerias!$A$2:$A$37,0))*INDEX(Galerias!$O$2:$O$37,MATCH(N$2,Galerias!$A$2:$A$37,0))^($A8-1),0))</f>
        <v/>
      </c>
      <c r="O8" s="43">
        <f>IF(AND(INDEX(Galerias!$M$2:$M$37,MATCH(O$2,Galerias!$A$2:$A$37,0))&lt;&gt;"",$A8&gt;INDEX(Galerias!$M$2:$M$37,MATCH(O$2,Galerias!$A$2:$A$37,0))),"",ROUND(INDEX(Galerias!$N$2:$N$37,MATCH(O$2,Galerias!$A$2:$A$37,0))*INDEX(Galerias!$O$2:$O$37,MATCH(O$2,Galerias!$A$2:$A$37,0))^($A8-1),0))</f>
        <v/>
      </c>
      <c r="P8" s="43">
        <f>IF(AND(INDEX(Galerias!$M$2:$M$37,MATCH(P$2,Galerias!$A$2:$A$37,0))&lt;&gt;"",$A8&gt;INDEX(Galerias!$M$2:$M$37,MATCH(P$2,Galerias!$A$2:$A$37,0))),"",ROUND(INDEX(Galerias!$N$2:$N$37,MATCH(P$2,Galerias!$A$2:$A$37,0))*INDEX(Galerias!$O$2:$O$37,MATCH(P$2,Galerias!$A$2:$A$37,0))^($A8-1),0))</f>
        <v/>
      </c>
      <c r="Q8" s="43">
        <f>IF(AND(INDEX(Galerias!$M$2:$M$37,MATCH(Q$2,Galerias!$A$2:$A$37,0))&lt;&gt;"",$A8&gt;INDEX(Galerias!$M$2:$M$37,MATCH(Q$2,Galerias!$A$2:$A$37,0))),"",ROUND(INDEX(Galerias!$N$2:$N$37,MATCH(Q$2,Galerias!$A$2:$A$37,0))*INDEX(Galerias!$O$2:$O$37,MATCH(Q$2,Galerias!$A$2:$A$37,0))^($A8-1),0))</f>
        <v/>
      </c>
      <c r="R8" s="43">
        <f>IF(AND(INDEX(Galerias!$M$2:$M$37,MATCH(R$2,Galerias!$A$2:$A$37,0))&lt;&gt;"",$A8&gt;INDEX(Galerias!$M$2:$M$37,MATCH(R$2,Galerias!$A$2:$A$37,0))),"",ROUND(INDEX(Galerias!$N$2:$N$37,MATCH(R$2,Galerias!$A$2:$A$37,0))*INDEX(Galerias!$O$2:$O$37,MATCH(R$2,Galerias!$A$2:$A$37,0))^($A8-1),0))</f>
        <v/>
      </c>
      <c r="S8" s="43">
        <f>IF(AND(INDEX(Galerias!$M$2:$M$37,MATCH(S$2,Galerias!$A$2:$A$37,0))&lt;&gt;"",$A8&gt;INDEX(Galerias!$M$2:$M$37,MATCH(S$2,Galerias!$A$2:$A$37,0))),"",ROUND(INDEX(Galerias!$N$2:$N$37,MATCH(S$2,Galerias!$A$2:$A$37,0))*INDEX(Galerias!$O$2:$O$37,MATCH(S$2,Galerias!$A$2:$A$37,0))^($A8-1),0))</f>
        <v/>
      </c>
      <c r="T8" s="43">
        <f>IF(AND(INDEX(Galerias!$M$2:$M$37,MATCH(T$2,Galerias!$A$2:$A$37,0))&lt;&gt;"",$A8&gt;INDEX(Galerias!$M$2:$M$37,MATCH(T$2,Galerias!$A$2:$A$37,0))),"",ROUND(INDEX(Galerias!$N$2:$N$37,MATCH(T$2,Galerias!$A$2:$A$37,0))*INDEX(Galerias!$O$2:$O$37,MATCH(T$2,Galerias!$A$2:$A$37,0))^($A8-1),0))</f>
        <v/>
      </c>
      <c r="U8" s="43">
        <f>IF(AND(INDEX(Galerias!$M$2:$M$37,MATCH(U$2,Galerias!$A$2:$A$37,0))&lt;&gt;"",$A8&gt;INDEX(Galerias!$M$2:$M$37,MATCH(U$2,Galerias!$A$2:$A$37,0))),"",ROUND(INDEX(Galerias!$N$2:$N$37,MATCH(U$2,Galerias!$A$2:$A$37,0))*INDEX(Galerias!$O$2:$O$37,MATCH(U$2,Galerias!$A$2:$A$37,0))^($A8-1),0))</f>
        <v/>
      </c>
      <c r="V8" s="43">
        <f>IF(AND(INDEX(Galerias!$M$2:$M$37,MATCH(V$2,Galerias!$A$2:$A$37,0))&lt;&gt;"",$A8&gt;INDEX(Galerias!$M$2:$M$37,MATCH(V$2,Galerias!$A$2:$A$37,0))),"",ROUND(INDEX(Galerias!$N$2:$N$37,MATCH(V$2,Galerias!$A$2:$A$37,0))*INDEX(Galerias!$O$2:$O$37,MATCH(V$2,Galerias!$A$2:$A$37,0))^($A8-1),0))</f>
        <v/>
      </c>
      <c r="W8" s="43">
        <f>IF(AND(INDEX(Galerias!$M$2:$M$37,MATCH(W$2,Galerias!$A$2:$A$37,0))&lt;&gt;"",$A8&gt;INDEX(Galerias!$M$2:$M$37,MATCH(W$2,Galerias!$A$2:$A$37,0))),"",ROUND(INDEX(Galerias!$N$2:$N$37,MATCH(W$2,Galerias!$A$2:$A$37,0))*INDEX(Galerias!$O$2:$O$37,MATCH(W$2,Galerias!$A$2:$A$37,0))^($A8-1),0))</f>
        <v/>
      </c>
      <c r="X8" s="43">
        <f>IF(AND(INDEX(Galerias!$M$2:$M$37,MATCH(X$2,Galerias!$A$2:$A$37,0))&lt;&gt;"",$A8&gt;INDEX(Galerias!$M$2:$M$37,MATCH(X$2,Galerias!$A$2:$A$37,0))),"",ROUND(INDEX(Galerias!$N$2:$N$37,MATCH(X$2,Galerias!$A$2:$A$37,0))*INDEX(Galerias!$O$2:$O$37,MATCH(X$2,Galerias!$A$2:$A$37,0))^($A8-1),0))</f>
        <v/>
      </c>
      <c r="Y8" s="43">
        <f>IF(AND(INDEX(Galerias!$M$2:$M$37,MATCH(Y$2,Galerias!$A$2:$A$37,0))&lt;&gt;"",$A8&gt;INDEX(Galerias!$M$2:$M$37,MATCH(Y$2,Galerias!$A$2:$A$37,0))),"",ROUND(INDEX(Galerias!$N$2:$N$37,MATCH(Y$2,Galerias!$A$2:$A$37,0))*INDEX(Galerias!$O$2:$O$37,MATCH(Y$2,Galerias!$A$2:$A$37,0))^($A8-1),0))</f>
        <v/>
      </c>
      <c r="Z8" s="43">
        <f>IF(AND(INDEX(Galerias!$M$2:$M$37,MATCH(Z$2,Galerias!$A$2:$A$37,0))&lt;&gt;"",$A8&gt;INDEX(Galerias!$M$2:$M$37,MATCH(Z$2,Galerias!$A$2:$A$37,0))),"",ROUND(INDEX(Galerias!$N$2:$N$37,MATCH(Z$2,Galerias!$A$2:$A$37,0))*INDEX(Galerias!$O$2:$O$37,MATCH(Z$2,Galerias!$A$2:$A$37,0))^($A8-1),0))</f>
        <v/>
      </c>
      <c r="AA8" s="43">
        <f>IF(AND(INDEX(Galerias!$M$2:$M$37,MATCH(AA$2,Galerias!$A$2:$A$37,0))&lt;&gt;"",$A8&gt;INDEX(Galerias!$M$2:$M$37,MATCH(AA$2,Galerias!$A$2:$A$37,0))),"",ROUND(INDEX(Galerias!$N$2:$N$37,MATCH(AA$2,Galerias!$A$2:$A$37,0))*INDEX(Galerias!$O$2:$O$37,MATCH(AA$2,Galerias!$A$2:$A$37,0))^($A8-1),0))</f>
        <v/>
      </c>
      <c r="AB8" s="43">
        <f>IF(AND(INDEX(Galerias!$M$2:$M$37,MATCH(AB$2,Galerias!$A$2:$A$37,0))&lt;&gt;"",$A8&gt;INDEX(Galerias!$M$2:$M$37,MATCH(AB$2,Galerias!$A$2:$A$37,0))),"",ROUND(INDEX(Galerias!$N$2:$N$37,MATCH(AB$2,Galerias!$A$2:$A$37,0))*INDEX(Galerias!$O$2:$O$37,MATCH(AB$2,Galerias!$A$2:$A$37,0))^($A8-1),0))</f>
        <v/>
      </c>
      <c r="AC8" s="43">
        <f>IF(AND(INDEX(Galerias!$M$2:$M$37,MATCH(AC$2,Galerias!$A$2:$A$37,0))&lt;&gt;"",$A8&gt;INDEX(Galerias!$M$2:$M$37,MATCH(AC$2,Galerias!$A$2:$A$37,0))),"",ROUND(INDEX(Galerias!$N$2:$N$37,MATCH(AC$2,Galerias!$A$2:$A$37,0))*INDEX(Galerias!$O$2:$O$37,MATCH(AC$2,Galerias!$A$2:$A$37,0))^($A8-1),0))</f>
        <v/>
      </c>
      <c r="AD8" s="43">
        <f>IF(AND(INDEX(Galerias!$M$2:$M$37,MATCH(AD$2,Galerias!$A$2:$A$37,0))&lt;&gt;"",$A8&gt;INDEX(Galerias!$M$2:$M$37,MATCH(AD$2,Galerias!$A$2:$A$37,0))),"",ROUND(INDEX(Galerias!$N$2:$N$37,MATCH(AD$2,Galerias!$A$2:$A$37,0))*INDEX(Galerias!$O$2:$O$37,MATCH(AD$2,Galerias!$A$2:$A$37,0))^($A8-1),0))</f>
        <v/>
      </c>
      <c r="AE8" s="43">
        <f>IF(AND(INDEX(Galerias!$M$2:$M$37,MATCH(AE$2,Galerias!$A$2:$A$37,0))&lt;&gt;"",$A8&gt;INDEX(Galerias!$M$2:$M$37,MATCH(AE$2,Galerias!$A$2:$A$37,0))),"",ROUND(INDEX(Galerias!$N$2:$N$37,MATCH(AE$2,Galerias!$A$2:$A$37,0))*INDEX(Galerias!$O$2:$O$37,MATCH(AE$2,Galerias!$A$2:$A$37,0))^($A8-1),0))</f>
        <v/>
      </c>
      <c r="AF8" s="43">
        <f>IF(AND(INDEX(Galerias!$M$2:$M$37,MATCH(AF$2,Galerias!$A$2:$A$37,0))&lt;&gt;"",$A8&gt;INDEX(Galerias!$M$2:$M$37,MATCH(AF$2,Galerias!$A$2:$A$37,0))),"",ROUND(INDEX(Galerias!$N$2:$N$37,MATCH(AF$2,Galerias!$A$2:$A$37,0))*INDEX(Galerias!$O$2:$O$37,MATCH(AF$2,Galerias!$A$2:$A$37,0))^($A8-1),0))</f>
        <v/>
      </c>
      <c r="AG8" s="43">
        <f>IF(AND(INDEX(Galerias!$M$2:$M$37,MATCH(AG$2,Galerias!$A$2:$A$37,0))&lt;&gt;"",$A8&gt;INDEX(Galerias!$M$2:$M$37,MATCH(AG$2,Galerias!$A$2:$A$37,0))),"",ROUND(INDEX(Galerias!$N$2:$N$37,MATCH(AG$2,Galerias!$A$2:$A$37,0))*INDEX(Galerias!$O$2:$O$37,MATCH(AG$2,Galerias!$A$2:$A$37,0))^($A8-1),0))</f>
        <v/>
      </c>
      <c r="AH8" s="43">
        <f>IF(AND(INDEX(Galerias!$M$2:$M$37,MATCH(AH$2,Galerias!$A$2:$A$37,0))&lt;&gt;"",$A8&gt;INDEX(Galerias!$M$2:$M$37,MATCH(AH$2,Galerias!$A$2:$A$37,0))),"",ROUND(INDEX(Galerias!$N$2:$N$37,MATCH(AH$2,Galerias!$A$2:$A$37,0))*INDEX(Galerias!$O$2:$O$37,MATCH(AH$2,Galerias!$A$2:$A$37,0))^($A8-1),0))</f>
        <v/>
      </c>
      <c r="AI8" s="43">
        <f>IF(AND(INDEX(Galerias!$M$2:$M$37,MATCH(AI$2,Galerias!$A$2:$A$37,0))&lt;&gt;"",$A8&gt;INDEX(Galerias!$M$2:$M$37,MATCH(AI$2,Galerias!$A$2:$A$37,0))),"",ROUND(INDEX(Galerias!$N$2:$N$37,MATCH(AI$2,Galerias!$A$2:$A$37,0))*INDEX(Galerias!$O$2:$O$37,MATCH(AI$2,Galerias!$A$2:$A$37,0))^($A8-1),0))</f>
        <v/>
      </c>
      <c r="AJ8" s="43">
        <f>IF(AND(INDEX(Galerias!$M$2:$M$37,MATCH(AJ$2,Galerias!$A$2:$A$37,0))&lt;&gt;"",$A8&gt;INDEX(Galerias!$M$2:$M$37,MATCH(AJ$2,Galerias!$A$2:$A$37,0))),"",ROUND(INDEX(Galerias!$N$2:$N$37,MATCH(AJ$2,Galerias!$A$2:$A$37,0))*INDEX(Galerias!$O$2:$O$37,MATCH(AJ$2,Galerias!$A$2:$A$37,0))^($A8-1),0))</f>
        <v/>
      </c>
      <c r="AK8" s="43">
        <f>IF(AND(INDEX(Galerias!$M$2:$M$37,MATCH(AK$2,Galerias!$A$2:$A$37,0))&lt;&gt;"",$A8&gt;INDEX(Galerias!$M$2:$M$37,MATCH(AK$2,Galerias!$A$2:$A$37,0))),"",ROUND(INDEX(Galerias!$N$2:$N$37,MATCH(AK$2,Galerias!$A$2:$A$37,0))*INDEX(Galerias!$O$2:$O$37,MATCH(AK$2,Galerias!$A$2:$A$37,0))^($A8-1),0))</f>
        <v/>
      </c>
    </row>
    <row r="9" ht="15" customHeight="1" s="23">
      <c r="A9" s="25" t="n">
        <v>7</v>
      </c>
      <c r="B9" s="43">
        <f>IF(AND(INDEX(Galerias!$M$2:$M$37,MATCH(B$2,Galerias!$A$2:$A$37,0))&lt;&gt;"",$A9&gt;INDEX(Galerias!$M$2:$M$37,MATCH(B$2,Galerias!$A$2:$A$37,0))),"",ROUND(INDEX(Galerias!$N$2:$N$37,MATCH(B$2,Galerias!$A$2:$A$37,0))*INDEX(Galerias!$O$2:$O$37,MATCH(B$2,Galerias!$A$2:$A$37,0))^($A9-1),0))</f>
        <v/>
      </c>
      <c r="C9" s="43">
        <f>IF(AND(INDEX(Galerias!$M$2:$M$37,MATCH(C$2,Galerias!$A$2:$A$37,0))&lt;&gt;"",$A9&gt;INDEX(Galerias!$M$2:$M$37,MATCH(C$2,Galerias!$A$2:$A$37,0))),"",ROUND(INDEX(Galerias!$N$2:$N$37,MATCH(C$2,Galerias!$A$2:$A$37,0))*INDEX(Galerias!$O$2:$O$37,MATCH(C$2,Galerias!$A$2:$A$37,0))^($A9-1),0))</f>
        <v/>
      </c>
      <c r="D9" s="43">
        <f>IF(AND(INDEX(Galerias!$M$2:$M$37,MATCH(D$2,Galerias!$A$2:$A$37,0))&lt;&gt;"",$A9&gt;INDEX(Galerias!$M$2:$M$37,MATCH(D$2,Galerias!$A$2:$A$37,0))),"",ROUND(INDEX(Galerias!$N$2:$N$37,MATCH(D$2,Galerias!$A$2:$A$37,0))*INDEX(Galerias!$O$2:$O$37,MATCH(D$2,Galerias!$A$2:$A$37,0))^($A9-1),0))</f>
        <v/>
      </c>
      <c r="E9" s="43">
        <f>IF(AND(INDEX(Galerias!$M$2:$M$37,MATCH(E$2,Galerias!$A$2:$A$37,0))&lt;&gt;"",$A9&gt;INDEX(Galerias!$M$2:$M$37,MATCH(E$2,Galerias!$A$2:$A$37,0))),"",ROUND(INDEX(Galerias!$N$2:$N$37,MATCH(E$2,Galerias!$A$2:$A$37,0))*INDEX(Galerias!$O$2:$O$37,MATCH(E$2,Galerias!$A$2:$A$37,0))^($A9-1),0))</f>
        <v/>
      </c>
      <c r="F9" s="43">
        <f>IF(AND(INDEX(Galerias!$M$2:$M$37,MATCH(F$2,Galerias!$A$2:$A$37,0))&lt;&gt;"",$A9&gt;INDEX(Galerias!$M$2:$M$37,MATCH(F$2,Galerias!$A$2:$A$37,0))),"",ROUND(INDEX(Galerias!$N$2:$N$37,MATCH(F$2,Galerias!$A$2:$A$37,0))*INDEX(Galerias!$O$2:$O$37,MATCH(F$2,Galerias!$A$2:$A$37,0))^($A9-1),0))</f>
        <v/>
      </c>
      <c r="G9" s="43">
        <f>IF(AND(INDEX(Galerias!$M$2:$M$37,MATCH(G$2,Galerias!$A$2:$A$37,0))&lt;&gt;"",$A9&gt;INDEX(Galerias!$M$2:$M$37,MATCH(G$2,Galerias!$A$2:$A$37,0))),"",ROUND(INDEX(Galerias!$N$2:$N$37,MATCH(G$2,Galerias!$A$2:$A$37,0))*INDEX(Galerias!$O$2:$O$37,MATCH(G$2,Galerias!$A$2:$A$37,0))^($A9-1),0))</f>
        <v/>
      </c>
      <c r="H9" s="43">
        <f>IF(AND(INDEX(Galerias!$M$2:$M$37,MATCH(H$2,Galerias!$A$2:$A$37,0))&lt;&gt;"",$A9&gt;INDEX(Galerias!$M$2:$M$37,MATCH(H$2,Galerias!$A$2:$A$37,0))),"",ROUND(INDEX(Galerias!$N$2:$N$37,MATCH(H$2,Galerias!$A$2:$A$37,0))*INDEX(Galerias!$O$2:$O$37,MATCH(H$2,Galerias!$A$2:$A$37,0))^($A9-1),0))</f>
        <v/>
      </c>
      <c r="I9" s="43">
        <f>IF(AND(INDEX(Galerias!$M$2:$M$37,MATCH(I$2,Galerias!$A$2:$A$37,0))&lt;&gt;"",$A9&gt;INDEX(Galerias!$M$2:$M$37,MATCH(I$2,Galerias!$A$2:$A$37,0))),"",ROUND(INDEX(Galerias!$N$2:$N$37,MATCH(I$2,Galerias!$A$2:$A$37,0))*INDEX(Galerias!$O$2:$O$37,MATCH(I$2,Galerias!$A$2:$A$37,0))^($A9-1),0))</f>
        <v/>
      </c>
      <c r="J9" s="43">
        <f>IF(AND(INDEX(Galerias!$M$2:$M$37,MATCH(J$2,Galerias!$A$2:$A$37,0))&lt;&gt;"",$A9&gt;INDEX(Galerias!$M$2:$M$37,MATCH(J$2,Galerias!$A$2:$A$37,0))),"",ROUND(INDEX(Galerias!$N$2:$N$37,MATCH(J$2,Galerias!$A$2:$A$37,0))*INDEX(Galerias!$O$2:$O$37,MATCH(J$2,Galerias!$A$2:$A$37,0))^($A9-1),0))</f>
        <v/>
      </c>
      <c r="K9" s="43">
        <f>IF(AND(INDEX(Galerias!$M$2:$M$37,MATCH(K$2,Galerias!$A$2:$A$37,0))&lt;&gt;"",$A9&gt;INDEX(Galerias!$M$2:$M$37,MATCH(K$2,Galerias!$A$2:$A$37,0))),"",ROUND(INDEX(Galerias!$N$2:$N$37,MATCH(K$2,Galerias!$A$2:$A$37,0))*INDEX(Galerias!$O$2:$O$37,MATCH(K$2,Galerias!$A$2:$A$37,0))^($A9-1),0))</f>
        <v/>
      </c>
      <c r="L9" s="43">
        <f>IF(AND(INDEX(Galerias!$M$2:$M$37,MATCH(L$2,Galerias!$A$2:$A$37,0))&lt;&gt;"",$A9&gt;INDEX(Galerias!$M$2:$M$37,MATCH(L$2,Galerias!$A$2:$A$37,0))),"",ROUND(INDEX(Galerias!$N$2:$N$37,MATCH(L$2,Galerias!$A$2:$A$37,0))*INDEX(Galerias!$O$2:$O$37,MATCH(L$2,Galerias!$A$2:$A$37,0))^($A9-1),0))</f>
        <v/>
      </c>
      <c r="M9" s="43">
        <f>IF(AND(INDEX(Galerias!$M$2:$M$37,MATCH(M$2,Galerias!$A$2:$A$37,0))&lt;&gt;"",$A9&gt;INDEX(Galerias!$M$2:$M$37,MATCH(M$2,Galerias!$A$2:$A$37,0))),"",ROUND(INDEX(Galerias!$N$2:$N$37,MATCH(M$2,Galerias!$A$2:$A$37,0))*INDEX(Galerias!$O$2:$O$37,MATCH(M$2,Galerias!$A$2:$A$37,0))^($A9-1),0))</f>
        <v/>
      </c>
      <c r="N9" s="43">
        <f>IF(AND(INDEX(Galerias!$M$2:$M$37,MATCH(N$2,Galerias!$A$2:$A$37,0))&lt;&gt;"",$A9&gt;INDEX(Galerias!$M$2:$M$37,MATCH(N$2,Galerias!$A$2:$A$37,0))),"",ROUND(INDEX(Galerias!$N$2:$N$37,MATCH(N$2,Galerias!$A$2:$A$37,0))*INDEX(Galerias!$O$2:$O$37,MATCH(N$2,Galerias!$A$2:$A$37,0))^($A9-1),0))</f>
        <v/>
      </c>
      <c r="O9" s="43">
        <f>IF(AND(INDEX(Galerias!$M$2:$M$37,MATCH(O$2,Galerias!$A$2:$A$37,0))&lt;&gt;"",$A9&gt;INDEX(Galerias!$M$2:$M$37,MATCH(O$2,Galerias!$A$2:$A$37,0))),"",ROUND(INDEX(Galerias!$N$2:$N$37,MATCH(O$2,Galerias!$A$2:$A$37,0))*INDEX(Galerias!$O$2:$O$37,MATCH(O$2,Galerias!$A$2:$A$37,0))^($A9-1),0))</f>
        <v/>
      </c>
      <c r="P9" s="43">
        <f>IF(AND(INDEX(Galerias!$M$2:$M$37,MATCH(P$2,Galerias!$A$2:$A$37,0))&lt;&gt;"",$A9&gt;INDEX(Galerias!$M$2:$M$37,MATCH(P$2,Galerias!$A$2:$A$37,0))),"",ROUND(INDEX(Galerias!$N$2:$N$37,MATCH(P$2,Galerias!$A$2:$A$37,0))*INDEX(Galerias!$O$2:$O$37,MATCH(P$2,Galerias!$A$2:$A$37,0))^($A9-1),0))</f>
        <v/>
      </c>
      <c r="Q9" s="43">
        <f>IF(AND(INDEX(Galerias!$M$2:$M$37,MATCH(Q$2,Galerias!$A$2:$A$37,0))&lt;&gt;"",$A9&gt;INDEX(Galerias!$M$2:$M$37,MATCH(Q$2,Galerias!$A$2:$A$37,0))),"",ROUND(INDEX(Galerias!$N$2:$N$37,MATCH(Q$2,Galerias!$A$2:$A$37,0))*INDEX(Galerias!$O$2:$O$37,MATCH(Q$2,Galerias!$A$2:$A$37,0))^($A9-1),0))</f>
        <v/>
      </c>
      <c r="R9" s="43">
        <f>IF(AND(INDEX(Galerias!$M$2:$M$37,MATCH(R$2,Galerias!$A$2:$A$37,0))&lt;&gt;"",$A9&gt;INDEX(Galerias!$M$2:$M$37,MATCH(R$2,Galerias!$A$2:$A$37,0))),"",ROUND(INDEX(Galerias!$N$2:$N$37,MATCH(R$2,Galerias!$A$2:$A$37,0))*INDEX(Galerias!$O$2:$O$37,MATCH(R$2,Galerias!$A$2:$A$37,0))^($A9-1),0))</f>
        <v/>
      </c>
      <c r="S9" s="43">
        <f>IF(AND(INDEX(Galerias!$M$2:$M$37,MATCH(S$2,Galerias!$A$2:$A$37,0))&lt;&gt;"",$A9&gt;INDEX(Galerias!$M$2:$M$37,MATCH(S$2,Galerias!$A$2:$A$37,0))),"",ROUND(INDEX(Galerias!$N$2:$N$37,MATCH(S$2,Galerias!$A$2:$A$37,0))*INDEX(Galerias!$O$2:$O$37,MATCH(S$2,Galerias!$A$2:$A$37,0))^($A9-1),0))</f>
        <v/>
      </c>
      <c r="T9" s="43">
        <f>IF(AND(INDEX(Galerias!$M$2:$M$37,MATCH(T$2,Galerias!$A$2:$A$37,0))&lt;&gt;"",$A9&gt;INDEX(Galerias!$M$2:$M$37,MATCH(T$2,Galerias!$A$2:$A$37,0))),"",ROUND(INDEX(Galerias!$N$2:$N$37,MATCH(T$2,Galerias!$A$2:$A$37,0))*INDEX(Galerias!$O$2:$O$37,MATCH(T$2,Galerias!$A$2:$A$37,0))^($A9-1),0))</f>
        <v/>
      </c>
      <c r="U9" s="43">
        <f>IF(AND(INDEX(Galerias!$M$2:$M$37,MATCH(U$2,Galerias!$A$2:$A$37,0))&lt;&gt;"",$A9&gt;INDEX(Galerias!$M$2:$M$37,MATCH(U$2,Galerias!$A$2:$A$37,0))),"",ROUND(INDEX(Galerias!$N$2:$N$37,MATCH(U$2,Galerias!$A$2:$A$37,0))*INDEX(Galerias!$O$2:$O$37,MATCH(U$2,Galerias!$A$2:$A$37,0))^($A9-1),0))</f>
        <v/>
      </c>
      <c r="V9" s="43">
        <f>IF(AND(INDEX(Galerias!$M$2:$M$37,MATCH(V$2,Galerias!$A$2:$A$37,0))&lt;&gt;"",$A9&gt;INDEX(Galerias!$M$2:$M$37,MATCH(V$2,Galerias!$A$2:$A$37,0))),"",ROUND(INDEX(Galerias!$N$2:$N$37,MATCH(V$2,Galerias!$A$2:$A$37,0))*INDEX(Galerias!$O$2:$O$37,MATCH(V$2,Galerias!$A$2:$A$37,0))^($A9-1),0))</f>
        <v/>
      </c>
      <c r="W9" s="43">
        <f>IF(AND(INDEX(Galerias!$M$2:$M$37,MATCH(W$2,Galerias!$A$2:$A$37,0))&lt;&gt;"",$A9&gt;INDEX(Galerias!$M$2:$M$37,MATCH(W$2,Galerias!$A$2:$A$37,0))),"",ROUND(INDEX(Galerias!$N$2:$N$37,MATCH(W$2,Galerias!$A$2:$A$37,0))*INDEX(Galerias!$O$2:$O$37,MATCH(W$2,Galerias!$A$2:$A$37,0))^($A9-1),0))</f>
        <v/>
      </c>
      <c r="X9" s="43">
        <f>IF(AND(INDEX(Galerias!$M$2:$M$37,MATCH(X$2,Galerias!$A$2:$A$37,0))&lt;&gt;"",$A9&gt;INDEX(Galerias!$M$2:$M$37,MATCH(X$2,Galerias!$A$2:$A$37,0))),"",ROUND(INDEX(Galerias!$N$2:$N$37,MATCH(X$2,Galerias!$A$2:$A$37,0))*INDEX(Galerias!$O$2:$O$37,MATCH(X$2,Galerias!$A$2:$A$37,0))^($A9-1),0))</f>
        <v/>
      </c>
      <c r="Y9" s="43">
        <f>IF(AND(INDEX(Galerias!$M$2:$M$37,MATCH(Y$2,Galerias!$A$2:$A$37,0))&lt;&gt;"",$A9&gt;INDEX(Galerias!$M$2:$M$37,MATCH(Y$2,Galerias!$A$2:$A$37,0))),"",ROUND(INDEX(Galerias!$N$2:$N$37,MATCH(Y$2,Galerias!$A$2:$A$37,0))*INDEX(Galerias!$O$2:$O$37,MATCH(Y$2,Galerias!$A$2:$A$37,0))^($A9-1),0))</f>
        <v/>
      </c>
      <c r="Z9" s="43">
        <f>IF(AND(INDEX(Galerias!$M$2:$M$37,MATCH(Z$2,Galerias!$A$2:$A$37,0))&lt;&gt;"",$A9&gt;INDEX(Galerias!$M$2:$M$37,MATCH(Z$2,Galerias!$A$2:$A$37,0))),"",ROUND(INDEX(Galerias!$N$2:$N$37,MATCH(Z$2,Galerias!$A$2:$A$37,0))*INDEX(Galerias!$O$2:$O$37,MATCH(Z$2,Galerias!$A$2:$A$37,0))^($A9-1),0))</f>
        <v/>
      </c>
      <c r="AA9" s="43">
        <f>IF(AND(INDEX(Galerias!$M$2:$M$37,MATCH(AA$2,Galerias!$A$2:$A$37,0))&lt;&gt;"",$A9&gt;INDEX(Galerias!$M$2:$M$37,MATCH(AA$2,Galerias!$A$2:$A$37,0))),"",ROUND(INDEX(Galerias!$N$2:$N$37,MATCH(AA$2,Galerias!$A$2:$A$37,0))*INDEX(Galerias!$O$2:$O$37,MATCH(AA$2,Galerias!$A$2:$A$37,0))^($A9-1),0))</f>
        <v/>
      </c>
      <c r="AB9" s="43">
        <f>IF(AND(INDEX(Galerias!$M$2:$M$37,MATCH(AB$2,Galerias!$A$2:$A$37,0))&lt;&gt;"",$A9&gt;INDEX(Galerias!$M$2:$M$37,MATCH(AB$2,Galerias!$A$2:$A$37,0))),"",ROUND(INDEX(Galerias!$N$2:$N$37,MATCH(AB$2,Galerias!$A$2:$A$37,0))*INDEX(Galerias!$O$2:$O$37,MATCH(AB$2,Galerias!$A$2:$A$37,0))^($A9-1),0))</f>
        <v/>
      </c>
      <c r="AC9" s="43">
        <f>IF(AND(INDEX(Galerias!$M$2:$M$37,MATCH(AC$2,Galerias!$A$2:$A$37,0))&lt;&gt;"",$A9&gt;INDEX(Galerias!$M$2:$M$37,MATCH(AC$2,Galerias!$A$2:$A$37,0))),"",ROUND(INDEX(Galerias!$N$2:$N$37,MATCH(AC$2,Galerias!$A$2:$A$37,0))*INDEX(Galerias!$O$2:$O$37,MATCH(AC$2,Galerias!$A$2:$A$37,0))^($A9-1),0))</f>
        <v/>
      </c>
      <c r="AD9" s="43">
        <f>IF(AND(INDEX(Galerias!$M$2:$M$37,MATCH(AD$2,Galerias!$A$2:$A$37,0))&lt;&gt;"",$A9&gt;INDEX(Galerias!$M$2:$M$37,MATCH(AD$2,Galerias!$A$2:$A$37,0))),"",ROUND(INDEX(Galerias!$N$2:$N$37,MATCH(AD$2,Galerias!$A$2:$A$37,0))*INDEX(Galerias!$O$2:$O$37,MATCH(AD$2,Galerias!$A$2:$A$37,0))^($A9-1),0))</f>
        <v/>
      </c>
      <c r="AE9" s="43">
        <f>IF(AND(INDEX(Galerias!$M$2:$M$37,MATCH(AE$2,Galerias!$A$2:$A$37,0))&lt;&gt;"",$A9&gt;INDEX(Galerias!$M$2:$M$37,MATCH(AE$2,Galerias!$A$2:$A$37,0))),"",ROUND(INDEX(Galerias!$N$2:$N$37,MATCH(AE$2,Galerias!$A$2:$A$37,0))*INDEX(Galerias!$O$2:$O$37,MATCH(AE$2,Galerias!$A$2:$A$37,0))^($A9-1),0))</f>
        <v/>
      </c>
      <c r="AF9" s="43">
        <f>IF(AND(INDEX(Galerias!$M$2:$M$37,MATCH(AF$2,Galerias!$A$2:$A$37,0))&lt;&gt;"",$A9&gt;INDEX(Galerias!$M$2:$M$37,MATCH(AF$2,Galerias!$A$2:$A$37,0))),"",ROUND(INDEX(Galerias!$N$2:$N$37,MATCH(AF$2,Galerias!$A$2:$A$37,0))*INDEX(Galerias!$O$2:$O$37,MATCH(AF$2,Galerias!$A$2:$A$37,0))^($A9-1),0))</f>
        <v/>
      </c>
      <c r="AG9" s="43">
        <f>IF(AND(INDEX(Galerias!$M$2:$M$37,MATCH(AG$2,Galerias!$A$2:$A$37,0))&lt;&gt;"",$A9&gt;INDEX(Galerias!$M$2:$M$37,MATCH(AG$2,Galerias!$A$2:$A$37,0))),"",ROUND(INDEX(Galerias!$N$2:$N$37,MATCH(AG$2,Galerias!$A$2:$A$37,0))*INDEX(Galerias!$O$2:$O$37,MATCH(AG$2,Galerias!$A$2:$A$37,0))^($A9-1),0))</f>
        <v/>
      </c>
      <c r="AH9" s="43">
        <f>IF(AND(INDEX(Galerias!$M$2:$M$37,MATCH(AH$2,Galerias!$A$2:$A$37,0))&lt;&gt;"",$A9&gt;INDEX(Galerias!$M$2:$M$37,MATCH(AH$2,Galerias!$A$2:$A$37,0))),"",ROUND(INDEX(Galerias!$N$2:$N$37,MATCH(AH$2,Galerias!$A$2:$A$37,0))*INDEX(Galerias!$O$2:$O$37,MATCH(AH$2,Galerias!$A$2:$A$37,0))^($A9-1),0))</f>
        <v/>
      </c>
      <c r="AI9" s="43">
        <f>IF(AND(INDEX(Galerias!$M$2:$M$37,MATCH(AI$2,Galerias!$A$2:$A$37,0))&lt;&gt;"",$A9&gt;INDEX(Galerias!$M$2:$M$37,MATCH(AI$2,Galerias!$A$2:$A$37,0))),"",ROUND(INDEX(Galerias!$N$2:$N$37,MATCH(AI$2,Galerias!$A$2:$A$37,0))*INDEX(Galerias!$O$2:$O$37,MATCH(AI$2,Galerias!$A$2:$A$37,0))^($A9-1),0))</f>
        <v/>
      </c>
      <c r="AJ9" s="43">
        <f>IF(AND(INDEX(Galerias!$M$2:$M$37,MATCH(AJ$2,Galerias!$A$2:$A$37,0))&lt;&gt;"",$A9&gt;INDEX(Galerias!$M$2:$M$37,MATCH(AJ$2,Galerias!$A$2:$A$37,0))),"",ROUND(INDEX(Galerias!$N$2:$N$37,MATCH(AJ$2,Galerias!$A$2:$A$37,0))*INDEX(Galerias!$O$2:$O$37,MATCH(AJ$2,Galerias!$A$2:$A$37,0))^($A9-1),0))</f>
        <v/>
      </c>
      <c r="AK9" s="43">
        <f>IF(AND(INDEX(Galerias!$M$2:$M$37,MATCH(AK$2,Galerias!$A$2:$A$37,0))&lt;&gt;"",$A9&gt;INDEX(Galerias!$M$2:$M$37,MATCH(AK$2,Galerias!$A$2:$A$37,0))),"",ROUND(INDEX(Galerias!$N$2:$N$37,MATCH(AK$2,Galerias!$A$2:$A$37,0))*INDEX(Galerias!$O$2:$O$37,MATCH(AK$2,Galerias!$A$2:$A$37,0))^($A9-1),0))</f>
        <v/>
      </c>
    </row>
    <row r="10" ht="15" customHeight="1" s="23">
      <c r="A10" s="25" t="n">
        <v>8</v>
      </c>
      <c r="B10" s="43">
        <f>IF(AND(INDEX(Galerias!$M$2:$M$37,MATCH(B$2,Galerias!$A$2:$A$37,0))&lt;&gt;"",$A10&gt;INDEX(Galerias!$M$2:$M$37,MATCH(B$2,Galerias!$A$2:$A$37,0))),"",ROUND(INDEX(Galerias!$N$2:$N$37,MATCH(B$2,Galerias!$A$2:$A$37,0))*INDEX(Galerias!$O$2:$O$37,MATCH(B$2,Galerias!$A$2:$A$37,0))^($A10-1),0))</f>
        <v/>
      </c>
      <c r="C10" s="43">
        <f>IF(AND(INDEX(Galerias!$M$2:$M$37,MATCH(C$2,Galerias!$A$2:$A$37,0))&lt;&gt;"",$A10&gt;INDEX(Galerias!$M$2:$M$37,MATCH(C$2,Galerias!$A$2:$A$37,0))),"",ROUND(INDEX(Galerias!$N$2:$N$37,MATCH(C$2,Galerias!$A$2:$A$37,0))*INDEX(Galerias!$O$2:$O$37,MATCH(C$2,Galerias!$A$2:$A$37,0))^($A10-1),0))</f>
        <v/>
      </c>
      <c r="D10" s="43">
        <f>IF(AND(INDEX(Galerias!$M$2:$M$37,MATCH(D$2,Galerias!$A$2:$A$37,0))&lt;&gt;"",$A10&gt;INDEX(Galerias!$M$2:$M$37,MATCH(D$2,Galerias!$A$2:$A$37,0))),"",ROUND(INDEX(Galerias!$N$2:$N$37,MATCH(D$2,Galerias!$A$2:$A$37,0))*INDEX(Galerias!$O$2:$O$37,MATCH(D$2,Galerias!$A$2:$A$37,0))^($A10-1),0))</f>
        <v/>
      </c>
      <c r="E10" s="43">
        <f>IF(AND(INDEX(Galerias!$M$2:$M$37,MATCH(E$2,Galerias!$A$2:$A$37,0))&lt;&gt;"",$A10&gt;INDEX(Galerias!$M$2:$M$37,MATCH(E$2,Galerias!$A$2:$A$37,0))),"",ROUND(INDEX(Galerias!$N$2:$N$37,MATCH(E$2,Galerias!$A$2:$A$37,0))*INDEX(Galerias!$O$2:$O$37,MATCH(E$2,Galerias!$A$2:$A$37,0))^($A10-1),0))</f>
        <v/>
      </c>
      <c r="F10" s="43">
        <f>IF(AND(INDEX(Galerias!$M$2:$M$37,MATCH(F$2,Galerias!$A$2:$A$37,0))&lt;&gt;"",$A10&gt;INDEX(Galerias!$M$2:$M$37,MATCH(F$2,Galerias!$A$2:$A$37,0))),"",ROUND(INDEX(Galerias!$N$2:$N$37,MATCH(F$2,Galerias!$A$2:$A$37,0))*INDEX(Galerias!$O$2:$O$37,MATCH(F$2,Galerias!$A$2:$A$37,0))^($A10-1),0))</f>
        <v/>
      </c>
      <c r="G10" s="43">
        <f>IF(AND(INDEX(Galerias!$M$2:$M$37,MATCH(G$2,Galerias!$A$2:$A$37,0))&lt;&gt;"",$A10&gt;INDEX(Galerias!$M$2:$M$37,MATCH(G$2,Galerias!$A$2:$A$37,0))),"",ROUND(INDEX(Galerias!$N$2:$N$37,MATCH(G$2,Galerias!$A$2:$A$37,0))*INDEX(Galerias!$O$2:$O$37,MATCH(G$2,Galerias!$A$2:$A$37,0))^($A10-1),0))</f>
        <v/>
      </c>
      <c r="H10" s="43">
        <f>IF(AND(INDEX(Galerias!$M$2:$M$37,MATCH(H$2,Galerias!$A$2:$A$37,0))&lt;&gt;"",$A10&gt;INDEX(Galerias!$M$2:$M$37,MATCH(H$2,Galerias!$A$2:$A$37,0))),"",ROUND(INDEX(Galerias!$N$2:$N$37,MATCH(H$2,Galerias!$A$2:$A$37,0))*INDEX(Galerias!$O$2:$O$37,MATCH(H$2,Galerias!$A$2:$A$37,0))^($A10-1),0))</f>
        <v/>
      </c>
      <c r="I10" s="43">
        <f>IF(AND(INDEX(Galerias!$M$2:$M$37,MATCH(I$2,Galerias!$A$2:$A$37,0))&lt;&gt;"",$A10&gt;INDEX(Galerias!$M$2:$M$37,MATCH(I$2,Galerias!$A$2:$A$37,0))),"",ROUND(INDEX(Galerias!$N$2:$N$37,MATCH(I$2,Galerias!$A$2:$A$37,0))*INDEX(Galerias!$O$2:$O$37,MATCH(I$2,Galerias!$A$2:$A$37,0))^($A10-1),0))</f>
        <v/>
      </c>
      <c r="J10" s="43">
        <f>IF(AND(INDEX(Galerias!$M$2:$M$37,MATCH(J$2,Galerias!$A$2:$A$37,0))&lt;&gt;"",$A10&gt;INDEX(Galerias!$M$2:$M$37,MATCH(J$2,Galerias!$A$2:$A$37,0))),"",ROUND(INDEX(Galerias!$N$2:$N$37,MATCH(J$2,Galerias!$A$2:$A$37,0))*INDEX(Galerias!$O$2:$O$37,MATCH(J$2,Galerias!$A$2:$A$37,0))^($A10-1),0))</f>
        <v/>
      </c>
      <c r="K10" s="43">
        <f>IF(AND(INDEX(Galerias!$M$2:$M$37,MATCH(K$2,Galerias!$A$2:$A$37,0))&lt;&gt;"",$A10&gt;INDEX(Galerias!$M$2:$M$37,MATCH(K$2,Galerias!$A$2:$A$37,0))),"",ROUND(INDEX(Galerias!$N$2:$N$37,MATCH(K$2,Galerias!$A$2:$A$37,0))*INDEX(Galerias!$O$2:$O$37,MATCH(K$2,Galerias!$A$2:$A$37,0))^($A10-1),0))</f>
        <v/>
      </c>
      <c r="L10" s="43">
        <f>IF(AND(INDEX(Galerias!$M$2:$M$37,MATCH(L$2,Galerias!$A$2:$A$37,0))&lt;&gt;"",$A10&gt;INDEX(Galerias!$M$2:$M$37,MATCH(L$2,Galerias!$A$2:$A$37,0))),"",ROUND(INDEX(Galerias!$N$2:$N$37,MATCH(L$2,Galerias!$A$2:$A$37,0))*INDEX(Galerias!$O$2:$O$37,MATCH(L$2,Galerias!$A$2:$A$37,0))^($A10-1),0))</f>
        <v/>
      </c>
      <c r="M10" s="43">
        <f>IF(AND(INDEX(Galerias!$M$2:$M$37,MATCH(M$2,Galerias!$A$2:$A$37,0))&lt;&gt;"",$A10&gt;INDEX(Galerias!$M$2:$M$37,MATCH(M$2,Galerias!$A$2:$A$37,0))),"",ROUND(INDEX(Galerias!$N$2:$N$37,MATCH(M$2,Galerias!$A$2:$A$37,0))*INDEX(Galerias!$O$2:$O$37,MATCH(M$2,Galerias!$A$2:$A$37,0))^($A10-1),0))</f>
        <v/>
      </c>
      <c r="N10" s="43">
        <f>IF(AND(INDEX(Galerias!$M$2:$M$37,MATCH(N$2,Galerias!$A$2:$A$37,0))&lt;&gt;"",$A10&gt;INDEX(Galerias!$M$2:$M$37,MATCH(N$2,Galerias!$A$2:$A$37,0))),"",ROUND(INDEX(Galerias!$N$2:$N$37,MATCH(N$2,Galerias!$A$2:$A$37,0))*INDEX(Galerias!$O$2:$O$37,MATCH(N$2,Galerias!$A$2:$A$37,0))^($A10-1),0))</f>
        <v/>
      </c>
      <c r="O10" s="43">
        <f>IF(AND(INDEX(Galerias!$M$2:$M$37,MATCH(O$2,Galerias!$A$2:$A$37,0))&lt;&gt;"",$A10&gt;INDEX(Galerias!$M$2:$M$37,MATCH(O$2,Galerias!$A$2:$A$37,0))),"",ROUND(INDEX(Galerias!$N$2:$N$37,MATCH(O$2,Galerias!$A$2:$A$37,0))*INDEX(Galerias!$O$2:$O$37,MATCH(O$2,Galerias!$A$2:$A$37,0))^($A10-1),0))</f>
        <v/>
      </c>
      <c r="P10" s="43">
        <f>IF(AND(INDEX(Galerias!$M$2:$M$37,MATCH(P$2,Galerias!$A$2:$A$37,0))&lt;&gt;"",$A10&gt;INDEX(Galerias!$M$2:$M$37,MATCH(P$2,Galerias!$A$2:$A$37,0))),"",ROUND(INDEX(Galerias!$N$2:$N$37,MATCH(P$2,Galerias!$A$2:$A$37,0))*INDEX(Galerias!$O$2:$O$37,MATCH(P$2,Galerias!$A$2:$A$37,0))^($A10-1),0))</f>
        <v/>
      </c>
      <c r="Q10" s="43">
        <f>IF(AND(INDEX(Galerias!$M$2:$M$37,MATCH(Q$2,Galerias!$A$2:$A$37,0))&lt;&gt;"",$A10&gt;INDEX(Galerias!$M$2:$M$37,MATCH(Q$2,Galerias!$A$2:$A$37,0))),"",ROUND(INDEX(Galerias!$N$2:$N$37,MATCH(Q$2,Galerias!$A$2:$A$37,0))*INDEX(Galerias!$O$2:$O$37,MATCH(Q$2,Galerias!$A$2:$A$37,0))^($A10-1),0))</f>
        <v/>
      </c>
      <c r="R10" s="43">
        <f>IF(AND(INDEX(Galerias!$M$2:$M$37,MATCH(R$2,Galerias!$A$2:$A$37,0))&lt;&gt;"",$A10&gt;INDEX(Galerias!$M$2:$M$37,MATCH(R$2,Galerias!$A$2:$A$37,0))),"",ROUND(INDEX(Galerias!$N$2:$N$37,MATCH(R$2,Galerias!$A$2:$A$37,0))*INDEX(Galerias!$O$2:$O$37,MATCH(R$2,Galerias!$A$2:$A$37,0))^($A10-1),0))</f>
        <v/>
      </c>
      <c r="S10" s="43">
        <f>IF(AND(INDEX(Galerias!$M$2:$M$37,MATCH(S$2,Galerias!$A$2:$A$37,0))&lt;&gt;"",$A10&gt;INDEX(Galerias!$M$2:$M$37,MATCH(S$2,Galerias!$A$2:$A$37,0))),"",ROUND(INDEX(Galerias!$N$2:$N$37,MATCH(S$2,Galerias!$A$2:$A$37,0))*INDEX(Galerias!$O$2:$O$37,MATCH(S$2,Galerias!$A$2:$A$37,0))^($A10-1),0))</f>
        <v/>
      </c>
      <c r="T10" s="43">
        <f>IF(AND(INDEX(Galerias!$M$2:$M$37,MATCH(T$2,Galerias!$A$2:$A$37,0))&lt;&gt;"",$A10&gt;INDEX(Galerias!$M$2:$M$37,MATCH(T$2,Galerias!$A$2:$A$37,0))),"",ROUND(INDEX(Galerias!$N$2:$N$37,MATCH(T$2,Galerias!$A$2:$A$37,0))*INDEX(Galerias!$O$2:$O$37,MATCH(T$2,Galerias!$A$2:$A$37,0))^($A10-1),0))</f>
        <v/>
      </c>
      <c r="U10" s="43">
        <f>IF(AND(INDEX(Galerias!$M$2:$M$37,MATCH(U$2,Galerias!$A$2:$A$37,0))&lt;&gt;"",$A10&gt;INDEX(Galerias!$M$2:$M$37,MATCH(U$2,Galerias!$A$2:$A$37,0))),"",ROUND(INDEX(Galerias!$N$2:$N$37,MATCH(U$2,Galerias!$A$2:$A$37,0))*INDEX(Galerias!$O$2:$O$37,MATCH(U$2,Galerias!$A$2:$A$37,0))^($A10-1),0))</f>
        <v/>
      </c>
      <c r="V10" s="43">
        <f>IF(AND(INDEX(Galerias!$M$2:$M$37,MATCH(V$2,Galerias!$A$2:$A$37,0))&lt;&gt;"",$A10&gt;INDEX(Galerias!$M$2:$M$37,MATCH(V$2,Galerias!$A$2:$A$37,0))),"",ROUND(INDEX(Galerias!$N$2:$N$37,MATCH(V$2,Galerias!$A$2:$A$37,0))*INDEX(Galerias!$O$2:$O$37,MATCH(V$2,Galerias!$A$2:$A$37,0))^($A10-1),0))</f>
        <v/>
      </c>
      <c r="W10" s="43">
        <f>IF(AND(INDEX(Galerias!$M$2:$M$37,MATCH(W$2,Galerias!$A$2:$A$37,0))&lt;&gt;"",$A10&gt;INDEX(Galerias!$M$2:$M$37,MATCH(W$2,Galerias!$A$2:$A$37,0))),"",ROUND(INDEX(Galerias!$N$2:$N$37,MATCH(W$2,Galerias!$A$2:$A$37,0))*INDEX(Galerias!$O$2:$O$37,MATCH(W$2,Galerias!$A$2:$A$37,0))^($A10-1),0))</f>
        <v/>
      </c>
      <c r="X10" s="43">
        <f>IF(AND(INDEX(Galerias!$M$2:$M$37,MATCH(X$2,Galerias!$A$2:$A$37,0))&lt;&gt;"",$A10&gt;INDEX(Galerias!$M$2:$M$37,MATCH(X$2,Galerias!$A$2:$A$37,0))),"",ROUND(INDEX(Galerias!$N$2:$N$37,MATCH(X$2,Galerias!$A$2:$A$37,0))*INDEX(Galerias!$O$2:$O$37,MATCH(X$2,Galerias!$A$2:$A$37,0))^($A10-1),0))</f>
        <v/>
      </c>
      <c r="Y10" s="43">
        <f>IF(AND(INDEX(Galerias!$M$2:$M$37,MATCH(Y$2,Galerias!$A$2:$A$37,0))&lt;&gt;"",$A10&gt;INDEX(Galerias!$M$2:$M$37,MATCH(Y$2,Galerias!$A$2:$A$37,0))),"",ROUND(INDEX(Galerias!$N$2:$N$37,MATCH(Y$2,Galerias!$A$2:$A$37,0))*INDEX(Galerias!$O$2:$O$37,MATCH(Y$2,Galerias!$A$2:$A$37,0))^($A10-1),0))</f>
        <v/>
      </c>
      <c r="Z10" s="43">
        <f>IF(AND(INDEX(Galerias!$M$2:$M$37,MATCH(Z$2,Galerias!$A$2:$A$37,0))&lt;&gt;"",$A10&gt;INDEX(Galerias!$M$2:$M$37,MATCH(Z$2,Galerias!$A$2:$A$37,0))),"",ROUND(INDEX(Galerias!$N$2:$N$37,MATCH(Z$2,Galerias!$A$2:$A$37,0))*INDEX(Galerias!$O$2:$O$37,MATCH(Z$2,Galerias!$A$2:$A$37,0))^($A10-1),0))</f>
        <v/>
      </c>
      <c r="AA10" s="43">
        <f>IF(AND(INDEX(Galerias!$M$2:$M$37,MATCH(AA$2,Galerias!$A$2:$A$37,0))&lt;&gt;"",$A10&gt;INDEX(Galerias!$M$2:$M$37,MATCH(AA$2,Galerias!$A$2:$A$37,0))),"",ROUND(INDEX(Galerias!$N$2:$N$37,MATCH(AA$2,Galerias!$A$2:$A$37,0))*INDEX(Galerias!$O$2:$O$37,MATCH(AA$2,Galerias!$A$2:$A$37,0))^($A10-1),0))</f>
        <v/>
      </c>
      <c r="AB10" s="43">
        <f>IF(AND(INDEX(Galerias!$M$2:$M$37,MATCH(AB$2,Galerias!$A$2:$A$37,0))&lt;&gt;"",$A10&gt;INDEX(Galerias!$M$2:$M$37,MATCH(AB$2,Galerias!$A$2:$A$37,0))),"",ROUND(INDEX(Galerias!$N$2:$N$37,MATCH(AB$2,Galerias!$A$2:$A$37,0))*INDEX(Galerias!$O$2:$O$37,MATCH(AB$2,Galerias!$A$2:$A$37,0))^($A10-1),0))</f>
        <v/>
      </c>
      <c r="AC10" s="43">
        <f>IF(AND(INDEX(Galerias!$M$2:$M$37,MATCH(AC$2,Galerias!$A$2:$A$37,0))&lt;&gt;"",$A10&gt;INDEX(Galerias!$M$2:$M$37,MATCH(AC$2,Galerias!$A$2:$A$37,0))),"",ROUND(INDEX(Galerias!$N$2:$N$37,MATCH(AC$2,Galerias!$A$2:$A$37,0))*INDEX(Galerias!$O$2:$O$37,MATCH(AC$2,Galerias!$A$2:$A$37,0))^($A10-1),0))</f>
        <v/>
      </c>
      <c r="AD10" s="43">
        <f>IF(AND(INDEX(Galerias!$M$2:$M$37,MATCH(AD$2,Galerias!$A$2:$A$37,0))&lt;&gt;"",$A10&gt;INDEX(Galerias!$M$2:$M$37,MATCH(AD$2,Galerias!$A$2:$A$37,0))),"",ROUND(INDEX(Galerias!$N$2:$N$37,MATCH(AD$2,Galerias!$A$2:$A$37,0))*INDEX(Galerias!$O$2:$O$37,MATCH(AD$2,Galerias!$A$2:$A$37,0))^($A10-1),0))</f>
        <v/>
      </c>
      <c r="AE10" s="43">
        <f>IF(AND(INDEX(Galerias!$M$2:$M$37,MATCH(AE$2,Galerias!$A$2:$A$37,0))&lt;&gt;"",$A10&gt;INDEX(Galerias!$M$2:$M$37,MATCH(AE$2,Galerias!$A$2:$A$37,0))),"",ROUND(INDEX(Galerias!$N$2:$N$37,MATCH(AE$2,Galerias!$A$2:$A$37,0))*INDEX(Galerias!$O$2:$O$37,MATCH(AE$2,Galerias!$A$2:$A$37,0))^($A10-1),0))</f>
        <v/>
      </c>
      <c r="AF10" s="43">
        <f>IF(AND(INDEX(Galerias!$M$2:$M$37,MATCH(AF$2,Galerias!$A$2:$A$37,0))&lt;&gt;"",$A10&gt;INDEX(Galerias!$M$2:$M$37,MATCH(AF$2,Galerias!$A$2:$A$37,0))),"",ROUND(INDEX(Galerias!$N$2:$N$37,MATCH(AF$2,Galerias!$A$2:$A$37,0))*INDEX(Galerias!$O$2:$O$37,MATCH(AF$2,Galerias!$A$2:$A$37,0))^($A10-1),0))</f>
        <v/>
      </c>
      <c r="AG10" s="43">
        <f>IF(AND(INDEX(Galerias!$M$2:$M$37,MATCH(AG$2,Galerias!$A$2:$A$37,0))&lt;&gt;"",$A10&gt;INDEX(Galerias!$M$2:$M$37,MATCH(AG$2,Galerias!$A$2:$A$37,0))),"",ROUND(INDEX(Galerias!$N$2:$N$37,MATCH(AG$2,Galerias!$A$2:$A$37,0))*INDEX(Galerias!$O$2:$O$37,MATCH(AG$2,Galerias!$A$2:$A$37,0))^($A10-1),0))</f>
        <v/>
      </c>
      <c r="AH10" s="43">
        <f>IF(AND(INDEX(Galerias!$M$2:$M$37,MATCH(AH$2,Galerias!$A$2:$A$37,0))&lt;&gt;"",$A10&gt;INDEX(Galerias!$M$2:$M$37,MATCH(AH$2,Galerias!$A$2:$A$37,0))),"",ROUND(INDEX(Galerias!$N$2:$N$37,MATCH(AH$2,Galerias!$A$2:$A$37,0))*INDEX(Galerias!$O$2:$O$37,MATCH(AH$2,Galerias!$A$2:$A$37,0))^($A10-1),0))</f>
        <v/>
      </c>
      <c r="AI10" s="43">
        <f>IF(AND(INDEX(Galerias!$M$2:$M$37,MATCH(AI$2,Galerias!$A$2:$A$37,0))&lt;&gt;"",$A10&gt;INDEX(Galerias!$M$2:$M$37,MATCH(AI$2,Galerias!$A$2:$A$37,0))),"",ROUND(INDEX(Galerias!$N$2:$N$37,MATCH(AI$2,Galerias!$A$2:$A$37,0))*INDEX(Galerias!$O$2:$O$37,MATCH(AI$2,Galerias!$A$2:$A$37,0))^($A10-1),0))</f>
        <v/>
      </c>
      <c r="AJ10" s="43">
        <f>IF(AND(INDEX(Galerias!$M$2:$M$37,MATCH(AJ$2,Galerias!$A$2:$A$37,0))&lt;&gt;"",$A10&gt;INDEX(Galerias!$M$2:$M$37,MATCH(AJ$2,Galerias!$A$2:$A$37,0))),"",ROUND(INDEX(Galerias!$N$2:$N$37,MATCH(AJ$2,Galerias!$A$2:$A$37,0))*INDEX(Galerias!$O$2:$O$37,MATCH(AJ$2,Galerias!$A$2:$A$37,0))^($A10-1),0))</f>
        <v/>
      </c>
      <c r="AK10" s="43">
        <f>IF(AND(INDEX(Galerias!$M$2:$M$37,MATCH(AK$2,Galerias!$A$2:$A$37,0))&lt;&gt;"",$A10&gt;INDEX(Galerias!$M$2:$M$37,MATCH(AK$2,Galerias!$A$2:$A$37,0))),"",ROUND(INDEX(Galerias!$N$2:$N$37,MATCH(AK$2,Galerias!$A$2:$A$37,0))*INDEX(Galerias!$O$2:$O$37,MATCH(AK$2,Galerias!$A$2:$A$37,0))^($A10-1),0))</f>
        <v/>
      </c>
    </row>
    <row r="11" ht="15" customHeight="1" s="23">
      <c r="A11" s="25" t="n">
        <v>9</v>
      </c>
      <c r="B11" s="43">
        <f>IF(AND(INDEX(Galerias!$M$2:$M$37,MATCH(B$2,Galerias!$A$2:$A$37,0))&lt;&gt;"",$A11&gt;INDEX(Galerias!$M$2:$M$37,MATCH(B$2,Galerias!$A$2:$A$37,0))),"",ROUND(INDEX(Galerias!$N$2:$N$37,MATCH(B$2,Galerias!$A$2:$A$37,0))*INDEX(Galerias!$O$2:$O$37,MATCH(B$2,Galerias!$A$2:$A$37,0))^($A11-1),0))</f>
        <v/>
      </c>
      <c r="C11" s="43">
        <f>IF(AND(INDEX(Galerias!$M$2:$M$37,MATCH(C$2,Galerias!$A$2:$A$37,0))&lt;&gt;"",$A11&gt;INDEX(Galerias!$M$2:$M$37,MATCH(C$2,Galerias!$A$2:$A$37,0))),"",ROUND(INDEX(Galerias!$N$2:$N$37,MATCH(C$2,Galerias!$A$2:$A$37,0))*INDEX(Galerias!$O$2:$O$37,MATCH(C$2,Galerias!$A$2:$A$37,0))^($A11-1),0))</f>
        <v/>
      </c>
      <c r="D11" s="43">
        <f>IF(AND(INDEX(Galerias!$M$2:$M$37,MATCH(D$2,Galerias!$A$2:$A$37,0))&lt;&gt;"",$A11&gt;INDEX(Galerias!$M$2:$M$37,MATCH(D$2,Galerias!$A$2:$A$37,0))),"",ROUND(INDEX(Galerias!$N$2:$N$37,MATCH(D$2,Galerias!$A$2:$A$37,0))*INDEX(Galerias!$O$2:$O$37,MATCH(D$2,Galerias!$A$2:$A$37,0))^($A11-1),0))</f>
        <v/>
      </c>
      <c r="E11" s="43">
        <f>IF(AND(INDEX(Galerias!$M$2:$M$37,MATCH(E$2,Galerias!$A$2:$A$37,0))&lt;&gt;"",$A11&gt;INDEX(Galerias!$M$2:$M$37,MATCH(E$2,Galerias!$A$2:$A$37,0))),"",ROUND(INDEX(Galerias!$N$2:$N$37,MATCH(E$2,Galerias!$A$2:$A$37,0))*INDEX(Galerias!$O$2:$O$37,MATCH(E$2,Galerias!$A$2:$A$37,0))^($A11-1),0))</f>
        <v/>
      </c>
      <c r="F11" s="43">
        <f>IF(AND(INDEX(Galerias!$M$2:$M$37,MATCH(F$2,Galerias!$A$2:$A$37,0))&lt;&gt;"",$A11&gt;INDEX(Galerias!$M$2:$M$37,MATCH(F$2,Galerias!$A$2:$A$37,0))),"",ROUND(INDEX(Galerias!$N$2:$N$37,MATCH(F$2,Galerias!$A$2:$A$37,0))*INDEX(Galerias!$O$2:$O$37,MATCH(F$2,Galerias!$A$2:$A$37,0))^($A11-1),0))</f>
        <v/>
      </c>
      <c r="G11" s="43">
        <f>IF(AND(INDEX(Galerias!$M$2:$M$37,MATCH(G$2,Galerias!$A$2:$A$37,0))&lt;&gt;"",$A11&gt;INDEX(Galerias!$M$2:$M$37,MATCH(G$2,Galerias!$A$2:$A$37,0))),"",ROUND(INDEX(Galerias!$N$2:$N$37,MATCH(G$2,Galerias!$A$2:$A$37,0))*INDEX(Galerias!$O$2:$O$37,MATCH(G$2,Galerias!$A$2:$A$37,0))^($A11-1),0))</f>
        <v/>
      </c>
      <c r="H11" s="43">
        <f>IF(AND(INDEX(Galerias!$M$2:$M$37,MATCH(H$2,Galerias!$A$2:$A$37,0))&lt;&gt;"",$A11&gt;INDEX(Galerias!$M$2:$M$37,MATCH(H$2,Galerias!$A$2:$A$37,0))),"",ROUND(INDEX(Galerias!$N$2:$N$37,MATCH(H$2,Galerias!$A$2:$A$37,0))*INDEX(Galerias!$O$2:$O$37,MATCH(H$2,Galerias!$A$2:$A$37,0))^($A11-1),0))</f>
        <v/>
      </c>
      <c r="I11" s="43">
        <f>IF(AND(INDEX(Galerias!$M$2:$M$37,MATCH(I$2,Galerias!$A$2:$A$37,0))&lt;&gt;"",$A11&gt;INDEX(Galerias!$M$2:$M$37,MATCH(I$2,Galerias!$A$2:$A$37,0))),"",ROUND(INDEX(Galerias!$N$2:$N$37,MATCH(I$2,Galerias!$A$2:$A$37,0))*INDEX(Galerias!$O$2:$O$37,MATCH(I$2,Galerias!$A$2:$A$37,0))^($A11-1),0))</f>
        <v/>
      </c>
      <c r="J11" s="43">
        <f>IF(AND(INDEX(Galerias!$M$2:$M$37,MATCH(J$2,Galerias!$A$2:$A$37,0))&lt;&gt;"",$A11&gt;INDEX(Galerias!$M$2:$M$37,MATCH(J$2,Galerias!$A$2:$A$37,0))),"",ROUND(INDEX(Galerias!$N$2:$N$37,MATCH(J$2,Galerias!$A$2:$A$37,0))*INDEX(Galerias!$O$2:$O$37,MATCH(J$2,Galerias!$A$2:$A$37,0))^($A11-1),0))</f>
        <v/>
      </c>
      <c r="K11" s="43">
        <f>IF(AND(INDEX(Galerias!$M$2:$M$37,MATCH(K$2,Galerias!$A$2:$A$37,0))&lt;&gt;"",$A11&gt;INDEX(Galerias!$M$2:$M$37,MATCH(K$2,Galerias!$A$2:$A$37,0))),"",ROUND(INDEX(Galerias!$N$2:$N$37,MATCH(K$2,Galerias!$A$2:$A$37,0))*INDEX(Galerias!$O$2:$O$37,MATCH(K$2,Galerias!$A$2:$A$37,0))^($A11-1),0))</f>
        <v/>
      </c>
      <c r="L11" s="43">
        <f>IF(AND(INDEX(Galerias!$M$2:$M$37,MATCH(L$2,Galerias!$A$2:$A$37,0))&lt;&gt;"",$A11&gt;INDEX(Galerias!$M$2:$M$37,MATCH(L$2,Galerias!$A$2:$A$37,0))),"",ROUND(INDEX(Galerias!$N$2:$N$37,MATCH(L$2,Galerias!$A$2:$A$37,0))*INDEX(Galerias!$O$2:$O$37,MATCH(L$2,Galerias!$A$2:$A$37,0))^($A11-1),0))</f>
        <v/>
      </c>
      <c r="M11" s="43">
        <f>IF(AND(INDEX(Galerias!$M$2:$M$37,MATCH(M$2,Galerias!$A$2:$A$37,0))&lt;&gt;"",$A11&gt;INDEX(Galerias!$M$2:$M$37,MATCH(M$2,Galerias!$A$2:$A$37,0))),"",ROUND(INDEX(Galerias!$N$2:$N$37,MATCH(M$2,Galerias!$A$2:$A$37,0))*INDEX(Galerias!$O$2:$O$37,MATCH(M$2,Galerias!$A$2:$A$37,0))^($A11-1),0))</f>
        <v/>
      </c>
      <c r="N11" s="43">
        <f>IF(AND(INDEX(Galerias!$M$2:$M$37,MATCH(N$2,Galerias!$A$2:$A$37,0))&lt;&gt;"",$A11&gt;INDEX(Galerias!$M$2:$M$37,MATCH(N$2,Galerias!$A$2:$A$37,0))),"",ROUND(INDEX(Galerias!$N$2:$N$37,MATCH(N$2,Galerias!$A$2:$A$37,0))*INDEX(Galerias!$O$2:$O$37,MATCH(N$2,Galerias!$A$2:$A$37,0))^($A11-1),0))</f>
        <v/>
      </c>
      <c r="O11" s="43">
        <f>IF(AND(INDEX(Galerias!$M$2:$M$37,MATCH(O$2,Galerias!$A$2:$A$37,0))&lt;&gt;"",$A11&gt;INDEX(Galerias!$M$2:$M$37,MATCH(O$2,Galerias!$A$2:$A$37,0))),"",ROUND(INDEX(Galerias!$N$2:$N$37,MATCH(O$2,Galerias!$A$2:$A$37,0))*INDEX(Galerias!$O$2:$O$37,MATCH(O$2,Galerias!$A$2:$A$37,0))^($A11-1),0))</f>
        <v/>
      </c>
      <c r="P11" s="43">
        <f>IF(AND(INDEX(Galerias!$M$2:$M$37,MATCH(P$2,Galerias!$A$2:$A$37,0))&lt;&gt;"",$A11&gt;INDEX(Galerias!$M$2:$M$37,MATCH(P$2,Galerias!$A$2:$A$37,0))),"",ROUND(INDEX(Galerias!$N$2:$N$37,MATCH(P$2,Galerias!$A$2:$A$37,0))*INDEX(Galerias!$O$2:$O$37,MATCH(P$2,Galerias!$A$2:$A$37,0))^($A11-1),0))</f>
        <v/>
      </c>
      <c r="Q11" s="43">
        <f>IF(AND(INDEX(Galerias!$M$2:$M$37,MATCH(Q$2,Galerias!$A$2:$A$37,0))&lt;&gt;"",$A11&gt;INDEX(Galerias!$M$2:$M$37,MATCH(Q$2,Galerias!$A$2:$A$37,0))),"",ROUND(INDEX(Galerias!$N$2:$N$37,MATCH(Q$2,Galerias!$A$2:$A$37,0))*INDEX(Galerias!$O$2:$O$37,MATCH(Q$2,Galerias!$A$2:$A$37,0))^($A11-1),0))</f>
        <v/>
      </c>
      <c r="R11" s="43">
        <f>IF(AND(INDEX(Galerias!$M$2:$M$37,MATCH(R$2,Galerias!$A$2:$A$37,0))&lt;&gt;"",$A11&gt;INDEX(Galerias!$M$2:$M$37,MATCH(R$2,Galerias!$A$2:$A$37,0))),"",ROUND(INDEX(Galerias!$N$2:$N$37,MATCH(R$2,Galerias!$A$2:$A$37,0))*INDEX(Galerias!$O$2:$O$37,MATCH(R$2,Galerias!$A$2:$A$37,0))^($A11-1),0))</f>
        <v/>
      </c>
      <c r="S11" s="43">
        <f>IF(AND(INDEX(Galerias!$M$2:$M$37,MATCH(S$2,Galerias!$A$2:$A$37,0))&lt;&gt;"",$A11&gt;INDEX(Galerias!$M$2:$M$37,MATCH(S$2,Galerias!$A$2:$A$37,0))),"",ROUND(INDEX(Galerias!$N$2:$N$37,MATCH(S$2,Galerias!$A$2:$A$37,0))*INDEX(Galerias!$O$2:$O$37,MATCH(S$2,Galerias!$A$2:$A$37,0))^($A11-1),0))</f>
        <v/>
      </c>
      <c r="T11" s="43">
        <f>IF(AND(INDEX(Galerias!$M$2:$M$37,MATCH(T$2,Galerias!$A$2:$A$37,0))&lt;&gt;"",$A11&gt;INDEX(Galerias!$M$2:$M$37,MATCH(T$2,Galerias!$A$2:$A$37,0))),"",ROUND(INDEX(Galerias!$N$2:$N$37,MATCH(T$2,Galerias!$A$2:$A$37,0))*INDEX(Galerias!$O$2:$O$37,MATCH(T$2,Galerias!$A$2:$A$37,0))^($A11-1),0))</f>
        <v/>
      </c>
      <c r="U11" s="43">
        <f>IF(AND(INDEX(Galerias!$M$2:$M$37,MATCH(U$2,Galerias!$A$2:$A$37,0))&lt;&gt;"",$A11&gt;INDEX(Galerias!$M$2:$M$37,MATCH(U$2,Galerias!$A$2:$A$37,0))),"",ROUND(INDEX(Galerias!$N$2:$N$37,MATCH(U$2,Galerias!$A$2:$A$37,0))*INDEX(Galerias!$O$2:$O$37,MATCH(U$2,Galerias!$A$2:$A$37,0))^($A11-1),0))</f>
        <v/>
      </c>
      <c r="V11" s="43">
        <f>IF(AND(INDEX(Galerias!$M$2:$M$37,MATCH(V$2,Galerias!$A$2:$A$37,0))&lt;&gt;"",$A11&gt;INDEX(Galerias!$M$2:$M$37,MATCH(V$2,Galerias!$A$2:$A$37,0))),"",ROUND(INDEX(Galerias!$N$2:$N$37,MATCH(V$2,Galerias!$A$2:$A$37,0))*INDEX(Galerias!$O$2:$O$37,MATCH(V$2,Galerias!$A$2:$A$37,0))^($A11-1),0))</f>
        <v/>
      </c>
      <c r="W11" s="43">
        <f>IF(AND(INDEX(Galerias!$M$2:$M$37,MATCH(W$2,Galerias!$A$2:$A$37,0))&lt;&gt;"",$A11&gt;INDEX(Galerias!$M$2:$M$37,MATCH(W$2,Galerias!$A$2:$A$37,0))),"",ROUND(INDEX(Galerias!$N$2:$N$37,MATCH(W$2,Galerias!$A$2:$A$37,0))*INDEX(Galerias!$O$2:$O$37,MATCH(W$2,Galerias!$A$2:$A$37,0))^($A11-1),0))</f>
        <v/>
      </c>
      <c r="X11" s="43">
        <f>IF(AND(INDEX(Galerias!$M$2:$M$37,MATCH(X$2,Galerias!$A$2:$A$37,0))&lt;&gt;"",$A11&gt;INDEX(Galerias!$M$2:$M$37,MATCH(X$2,Galerias!$A$2:$A$37,0))),"",ROUND(INDEX(Galerias!$N$2:$N$37,MATCH(X$2,Galerias!$A$2:$A$37,0))*INDEX(Galerias!$O$2:$O$37,MATCH(X$2,Galerias!$A$2:$A$37,0))^($A11-1),0))</f>
        <v/>
      </c>
      <c r="Y11" s="43">
        <f>IF(AND(INDEX(Galerias!$M$2:$M$37,MATCH(Y$2,Galerias!$A$2:$A$37,0))&lt;&gt;"",$A11&gt;INDEX(Galerias!$M$2:$M$37,MATCH(Y$2,Galerias!$A$2:$A$37,0))),"",ROUND(INDEX(Galerias!$N$2:$N$37,MATCH(Y$2,Galerias!$A$2:$A$37,0))*INDEX(Galerias!$O$2:$O$37,MATCH(Y$2,Galerias!$A$2:$A$37,0))^($A11-1),0))</f>
        <v/>
      </c>
      <c r="Z11" s="43">
        <f>IF(AND(INDEX(Galerias!$M$2:$M$37,MATCH(Z$2,Galerias!$A$2:$A$37,0))&lt;&gt;"",$A11&gt;INDEX(Galerias!$M$2:$M$37,MATCH(Z$2,Galerias!$A$2:$A$37,0))),"",ROUND(INDEX(Galerias!$N$2:$N$37,MATCH(Z$2,Galerias!$A$2:$A$37,0))*INDEX(Galerias!$O$2:$O$37,MATCH(Z$2,Galerias!$A$2:$A$37,0))^($A11-1),0))</f>
        <v/>
      </c>
      <c r="AA11" s="43">
        <f>IF(AND(INDEX(Galerias!$M$2:$M$37,MATCH(AA$2,Galerias!$A$2:$A$37,0))&lt;&gt;"",$A11&gt;INDEX(Galerias!$M$2:$M$37,MATCH(AA$2,Galerias!$A$2:$A$37,0))),"",ROUND(INDEX(Galerias!$N$2:$N$37,MATCH(AA$2,Galerias!$A$2:$A$37,0))*INDEX(Galerias!$O$2:$O$37,MATCH(AA$2,Galerias!$A$2:$A$37,0))^($A11-1),0))</f>
        <v/>
      </c>
      <c r="AB11" s="43">
        <f>IF(AND(INDEX(Galerias!$M$2:$M$37,MATCH(AB$2,Galerias!$A$2:$A$37,0))&lt;&gt;"",$A11&gt;INDEX(Galerias!$M$2:$M$37,MATCH(AB$2,Galerias!$A$2:$A$37,0))),"",ROUND(INDEX(Galerias!$N$2:$N$37,MATCH(AB$2,Galerias!$A$2:$A$37,0))*INDEX(Galerias!$O$2:$O$37,MATCH(AB$2,Galerias!$A$2:$A$37,0))^($A11-1),0))</f>
        <v/>
      </c>
      <c r="AC11" s="43">
        <f>IF(AND(INDEX(Galerias!$M$2:$M$37,MATCH(AC$2,Galerias!$A$2:$A$37,0))&lt;&gt;"",$A11&gt;INDEX(Galerias!$M$2:$M$37,MATCH(AC$2,Galerias!$A$2:$A$37,0))),"",ROUND(INDEX(Galerias!$N$2:$N$37,MATCH(AC$2,Galerias!$A$2:$A$37,0))*INDEX(Galerias!$O$2:$O$37,MATCH(AC$2,Galerias!$A$2:$A$37,0))^($A11-1),0))</f>
        <v/>
      </c>
      <c r="AD11" s="43">
        <f>IF(AND(INDEX(Galerias!$M$2:$M$37,MATCH(AD$2,Galerias!$A$2:$A$37,0))&lt;&gt;"",$A11&gt;INDEX(Galerias!$M$2:$M$37,MATCH(AD$2,Galerias!$A$2:$A$37,0))),"",ROUND(INDEX(Galerias!$N$2:$N$37,MATCH(AD$2,Galerias!$A$2:$A$37,0))*INDEX(Galerias!$O$2:$O$37,MATCH(AD$2,Galerias!$A$2:$A$37,0))^($A11-1),0))</f>
        <v/>
      </c>
      <c r="AE11" s="43">
        <f>IF(AND(INDEX(Galerias!$M$2:$M$37,MATCH(AE$2,Galerias!$A$2:$A$37,0))&lt;&gt;"",$A11&gt;INDEX(Galerias!$M$2:$M$37,MATCH(AE$2,Galerias!$A$2:$A$37,0))),"",ROUND(INDEX(Galerias!$N$2:$N$37,MATCH(AE$2,Galerias!$A$2:$A$37,0))*INDEX(Galerias!$O$2:$O$37,MATCH(AE$2,Galerias!$A$2:$A$37,0))^($A11-1),0))</f>
        <v/>
      </c>
      <c r="AF11" s="43">
        <f>IF(AND(INDEX(Galerias!$M$2:$M$37,MATCH(AF$2,Galerias!$A$2:$A$37,0))&lt;&gt;"",$A11&gt;INDEX(Galerias!$M$2:$M$37,MATCH(AF$2,Galerias!$A$2:$A$37,0))),"",ROUND(INDEX(Galerias!$N$2:$N$37,MATCH(AF$2,Galerias!$A$2:$A$37,0))*INDEX(Galerias!$O$2:$O$37,MATCH(AF$2,Galerias!$A$2:$A$37,0))^($A11-1),0))</f>
        <v/>
      </c>
      <c r="AG11" s="43">
        <f>IF(AND(INDEX(Galerias!$M$2:$M$37,MATCH(AG$2,Galerias!$A$2:$A$37,0))&lt;&gt;"",$A11&gt;INDEX(Galerias!$M$2:$M$37,MATCH(AG$2,Galerias!$A$2:$A$37,0))),"",ROUND(INDEX(Galerias!$N$2:$N$37,MATCH(AG$2,Galerias!$A$2:$A$37,0))*INDEX(Galerias!$O$2:$O$37,MATCH(AG$2,Galerias!$A$2:$A$37,0))^($A11-1),0))</f>
        <v/>
      </c>
      <c r="AH11" s="43">
        <f>IF(AND(INDEX(Galerias!$M$2:$M$37,MATCH(AH$2,Galerias!$A$2:$A$37,0))&lt;&gt;"",$A11&gt;INDEX(Galerias!$M$2:$M$37,MATCH(AH$2,Galerias!$A$2:$A$37,0))),"",ROUND(INDEX(Galerias!$N$2:$N$37,MATCH(AH$2,Galerias!$A$2:$A$37,0))*INDEX(Galerias!$O$2:$O$37,MATCH(AH$2,Galerias!$A$2:$A$37,0))^($A11-1),0))</f>
        <v/>
      </c>
      <c r="AI11" s="43">
        <f>IF(AND(INDEX(Galerias!$M$2:$M$37,MATCH(AI$2,Galerias!$A$2:$A$37,0))&lt;&gt;"",$A11&gt;INDEX(Galerias!$M$2:$M$37,MATCH(AI$2,Galerias!$A$2:$A$37,0))),"",ROUND(INDEX(Galerias!$N$2:$N$37,MATCH(AI$2,Galerias!$A$2:$A$37,0))*INDEX(Galerias!$O$2:$O$37,MATCH(AI$2,Galerias!$A$2:$A$37,0))^($A11-1),0))</f>
        <v/>
      </c>
      <c r="AJ11" s="43">
        <f>IF(AND(INDEX(Galerias!$M$2:$M$37,MATCH(AJ$2,Galerias!$A$2:$A$37,0))&lt;&gt;"",$A11&gt;INDEX(Galerias!$M$2:$M$37,MATCH(AJ$2,Galerias!$A$2:$A$37,0))),"",ROUND(INDEX(Galerias!$N$2:$N$37,MATCH(AJ$2,Galerias!$A$2:$A$37,0))*INDEX(Galerias!$O$2:$O$37,MATCH(AJ$2,Galerias!$A$2:$A$37,0))^($A11-1),0))</f>
        <v/>
      </c>
      <c r="AK11" s="43">
        <f>IF(AND(INDEX(Galerias!$M$2:$M$37,MATCH(AK$2,Galerias!$A$2:$A$37,0))&lt;&gt;"",$A11&gt;INDEX(Galerias!$M$2:$M$37,MATCH(AK$2,Galerias!$A$2:$A$37,0))),"",ROUND(INDEX(Galerias!$N$2:$N$37,MATCH(AK$2,Galerias!$A$2:$A$37,0))*INDEX(Galerias!$O$2:$O$37,MATCH(AK$2,Galerias!$A$2:$A$37,0))^($A11-1),0))</f>
        <v/>
      </c>
    </row>
    <row r="12" ht="15" customHeight="1" s="23">
      <c r="A12" s="25" t="n">
        <v>10</v>
      </c>
      <c r="B12" s="43">
        <f>IF(AND(INDEX(Galerias!$M$2:$M$37,MATCH(B$2,Galerias!$A$2:$A$37,0))&lt;&gt;"",$A12&gt;INDEX(Galerias!$M$2:$M$37,MATCH(B$2,Galerias!$A$2:$A$37,0))),"",ROUND(INDEX(Galerias!$N$2:$N$37,MATCH(B$2,Galerias!$A$2:$A$37,0))*INDEX(Galerias!$O$2:$O$37,MATCH(B$2,Galerias!$A$2:$A$37,0))^($A12-1),0))</f>
        <v/>
      </c>
      <c r="C12" s="43">
        <f>IF(AND(INDEX(Galerias!$M$2:$M$37,MATCH(C$2,Galerias!$A$2:$A$37,0))&lt;&gt;"",$A12&gt;INDEX(Galerias!$M$2:$M$37,MATCH(C$2,Galerias!$A$2:$A$37,0))),"",ROUND(INDEX(Galerias!$N$2:$N$37,MATCH(C$2,Galerias!$A$2:$A$37,0))*INDEX(Galerias!$O$2:$O$37,MATCH(C$2,Galerias!$A$2:$A$37,0))^($A12-1),0))</f>
        <v/>
      </c>
      <c r="D12" s="43">
        <f>IF(AND(INDEX(Galerias!$M$2:$M$37,MATCH(D$2,Galerias!$A$2:$A$37,0))&lt;&gt;"",$A12&gt;INDEX(Galerias!$M$2:$M$37,MATCH(D$2,Galerias!$A$2:$A$37,0))),"",ROUND(INDEX(Galerias!$N$2:$N$37,MATCH(D$2,Galerias!$A$2:$A$37,0))*INDEX(Galerias!$O$2:$O$37,MATCH(D$2,Galerias!$A$2:$A$37,0))^($A12-1),0))</f>
        <v/>
      </c>
      <c r="E12" s="43">
        <f>IF(AND(INDEX(Galerias!$M$2:$M$37,MATCH(E$2,Galerias!$A$2:$A$37,0))&lt;&gt;"",$A12&gt;INDEX(Galerias!$M$2:$M$37,MATCH(E$2,Galerias!$A$2:$A$37,0))),"",ROUND(INDEX(Galerias!$N$2:$N$37,MATCH(E$2,Galerias!$A$2:$A$37,0))*INDEX(Galerias!$O$2:$O$37,MATCH(E$2,Galerias!$A$2:$A$37,0))^($A12-1),0))</f>
        <v/>
      </c>
      <c r="F12" s="43">
        <f>IF(AND(INDEX(Galerias!$M$2:$M$37,MATCH(F$2,Galerias!$A$2:$A$37,0))&lt;&gt;"",$A12&gt;INDEX(Galerias!$M$2:$M$37,MATCH(F$2,Galerias!$A$2:$A$37,0))),"",ROUND(INDEX(Galerias!$N$2:$N$37,MATCH(F$2,Galerias!$A$2:$A$37,0))*INDEX(Galerias!$O$2:$O$37,MATCH(F$2,Galerias!$A$2:$A$37,0))^($A12-1),0))</f>
        <v/>
      </c>
      <c r="G12" s="43">
        <f>IF(AND(INDEX(Galerias!$M$2:$M$37,MATCH(G$2,Galerias!$A$2:$A$37,0))&lt;&gt;"",$A12&gt;INDEX(Galerias!$M$2:$M$37,MATCH(G$2,Galerias!$A$2:$A$37,0))),"",ROUND(INDEX(Galerias!$N$2:$N$37,MATCH(G$2,Galerias!$A$2:$A$37,0))*INDEX(Galerias!$O$2:$O$37,MATCH(G$2,Galerias!$A$2:$A$37,0))^($A12-1),0))</f>
        <v/>
      </c>
      <c r="H12" s="43">
        <f>IF(AND(INDEX(Galerias!$M$2:$M$37,MATCH(H$2,Galerias!$A$2:$A$37,0))&lt;&gt;"",$A12&gt;INDEX(Galerias!$M$2:$M$37,MATCH(H$2,Galerias!$A$2:$A$37,0))),"",ROUND(INDEX(Galerias!$N$2:$N$37,MATCH(H$2,Galerias!$A$2:$A$37,0))*INDEX(Galerias!$O$2:$O$37,MATCH(H$2,Galerias!$A$2:$A$37,0))^($A12-1),0))</f>
        <v/>
      </c>
      <c r="I12" s="43">
        <f>IF(AND(INDEX(Galerias!$M$2:$M$37,MATCH(I$2,Galerias!$A$2:$A$37,0))&lt;&gt;"",$A12&gt;INDEX(Galerias!$M$2:$M$37,MATCH(I$2,Galerias!$A$2:$A$37,0))),"",ROUND(INDEX(Galerias!$N$2:$N$37,MATCH(I$2,Galerias!$A$2:$A$37,0))*INDEX(Galerias!$O$2:$O$37,MATCH(I$2,Galerias!$A$2:$A$37,0))^($A12-1),0))</f>
        <v/>
      </c>
      <c r="J12" s="43">
        <f>IF(AND(INDEX(Galerias!$M$2:$M$37,MATCH(J$2,Galerias!$A$2:$A$37,0))&lt;&gt;"",$A12&gt;INDEX(Galerias!$M$2:$M$37,MATCH(J$2,Galerias!$A$2:$A$37,0))),"",ROUND(INDEX(Galerias!$N$2:$N$37,MATCH(J$2,Galerias!$A$2:$A$37,0))*INDEX(Galerias!$O$2:$O$37,MATCH(J$2,Galerias!$A$2:$A$37,0))^($A12-1),0))</f>
        <v/>
      </c>
      <c r="K12" s="43">
        <f>IF(AND(INDEX(Galerias!$M$2:$M$37,MATCH(K$2,Galerias!$A$2:$A$37,0))&lt;&gt;"",$A12&gt;INDEX(Galerias!$M$2:$M$37,MATCH(K$2,Galerias!$A$2:$A$37,0))),"",ROUND(INDEX(Galerias!$N$2:$N$37,MATCH(K$2,Galerias!$A$2:$A$37,0))*INDEX(Galerias!$O$2:$O$37,MATCH(K$2,Galerias!$A$2:$A$37,0))^($A12-1),0))</f>
        <v/>
      </c>
      <c r="L12" s="43">
        <f>IF(AND(INDEX(Galerias!$M$2:$M$37,MATCH(L$2,Galerias!$A$2:$A$37,0))&lt;&gt;"",$A12&gt;INDEX(Galerias!$M$2:$M$37,MATCH(L$2,Galerias!$A$2:$A$37,0))),"",ROUND(INDEX(Galerias!$N$2:$N$37,MATCH(L$2,Galerias!$A$2:$A$37,0))*INDEX(Galerias!$O$2:$O$37,MATCH(L$2,Galerias!$A$2:$A$37,0))^($A12-1),0))</f>
        <v/>
      </c>
      <c r="M12" s="43">
        <f>IF(AND(INDEX(Galerias!$M$2:$M$37,MATCH(M$2,Galerias!$A$2:$A$37,0))&lt;&gt;"",$A12&gt;INDEX(Galerias!$M$2:$M$37,MATCH(M$2,Galerias!$A$2:$A$37,0))),"",ROUND(INDEX(Galerias!$N$2:$N$37,MATCH(M$2,Galerias!$A$2:$A$37,0))*INDEX(Galerias!$O$2:$O$37,MATCH(M$2,Galerias!$A$2:$A$37,0))^($A12-1),0))</f>
        <v/>
      </c>
      <c r="N12" s="43">
        <f>IF(AND(INDEX(Galerias!$M$2:$M$37,MATCH(N$2,Galerias!$A$2:$A$37,0))&lt;&gt;"",$A12&gt;INDEX(Galerias!$M$2:$M$37,MATCH(N$2,Galerias!$A$2:$A$37,0))),"",ROUND(INDEX(Galerias!$N$2:$N$37,MATCH(N$2,Galerias!$A$2:$A$37,0))*INDEX(Galerias!$O$2:$O$37,MATCH(N$2,Galerias!$A$2:$A$37,0))^($A12-1),0))</f>
        <v/>
      </c>
      <c r="O12" s="43">
        <f>IF(AND(INDEX(Galerias!$M$2:$M$37,MATCH(O$2,Galerias!$A$2:$A$37,0))&lt;&gt;"",$A12&gt;INDEX(Galerias!$M$2:$M$37,MATCH(O$2,Galerias!$A$2:$A$37,0))),"",ROUND(INDEX(Galerias!$N$2:$N$37,MATCH(O$2,Galerias!$A$2:$A$37,0))*INDEX(Galerias!$O$2:$O$37,MATCH(O$2,Galerias!$A$2:$A$37,0))^($A12-1),0))</f>
        <v/>
      </c>
      <c r="P12" s="43">
        <f>IF(AND(INDEX(Galerias!$M$2:$M$37,MATCH(P$2,Galerias!$A$2:$A$37,0))&lt;&gt;"",$A12&gt;INDEX(Galerias!$M$2:$M$37,MATCH(P$2,Galerias!$A$2:$A$37,0))),"",ROUND(INDEX(Galerias!$N$2:$N$37,MATCH(P$2,Galerias!$A$2:$A$37,0))*INDEX(Galerias!$O$2:$O$37,MATCH(P$2,Galerias!$A$2:$A$37,0))^($A12-1),0))</f>
        <v/>
      </c>
      <c r="Q12" s="43">
        <f>IF(AND(INDEX(Galerias!$M$2:$M$37,MATCH(Q$2,Galerias!$A$2:$A$37,0))&lt;&gt;"",$A12&gt;INDEX(Galerias!$M$2:$M$37,MATCH(Q$2,Galerias!$A$2:$A$37,0))),"",ROUND(INDEX(Galerias!$N$2:$N$37,MATCH(Q$2,Galerias!$A$2:$A$37,0))*INDEX(Galerias!$O$2:$O$37,MATCH(Q$2,Galerias!$A$2:$A$37,0))^($A12-1),0))</f>
        <v/>
      </c>
      <c r="R12" s="43">
        <f>IF(AND(INDEX(Galerias!$M$2:$M$37,MATCH(R$2,Galerias!$A$2:$A$37,0))&lt;&gt;"",$A12&gt;INDEX(Galerias!$M$2:$M$37,MATCH(R$2,Galerias!$A$2:$A$37,0))),"",ROUND(INDEX(Galerias!$N$2:$N$37,MATCH(R$2,Galerias!$A$2:$A$37,0))*INDEX(Galerias!$O$2:$O$37,MATCH(R$2,Galerias!$A$2:$A$37,0))^($A12-1),0))</f>
        <v/>
      </c>
      <c r="S12" s="43">
        <f>IF(AND(INDEX(Galerias!$M$2:$M$37,MATCH(S$2,Galerias!$A$2:$A$37,0))&lt;&gt;"",$A12&gt;INDEX(Galerias!$M$2:$M$37,MATCH(S$2,Galerias!$A$2:$A$37,0))),"",ROUND(INDEX(Galerias!$N$2:$N$37,MATCH(S$2,Galerias!$A$2:$A$37,0))*INDEX(Galerias!$O$2:$O$37,MATCH(S$2,Galerias!$A$2:$A$37,0))^($A12-1),0))</f>
        <v/>
      </c>
      <c r="T12" s="43">
        <f>IF(AND(INDEX(Galerias!$M$2:$M$37,MATCH(T$2,Galerias!$A$2:$A$37,0))&lt;&gt;"",$A12&gt;INDEX(Galerias!$M$2:$M$37,MATCH(T$2,Galerias!$A$2:$A$37,0))),"",ROUND(INDEX(Galerias!$N$2:$N$37,MATCH(T$2,Galerias!$A$2:$A$37,0))*INDEX(Galerias!$O$2:$O$37,MATCH(T$2,Galerias!$A$2:$A$37,0))^($A12-1),0))</f>
        <v/>
      </c>
      <c r="U12" s="43">
        <f>IF(AND(INDEX(Galerias!$M$2:$M$37,MATCH(U$2,Galerias!$A$2:$A$37,0))&lt;&gt;"",$A12&gt;INDEX(Galerias!$M$2:$M$37,MATCH(U$2,Galerias!$A$2:$A$37,0))),"",ROUND(INDEX(Galerias!$N$2:$N$37,MATCH(U$2,Galerias!$A$2:$A$37,0))*INDEX(Galerias!$O$2:$O$37,MATCH(U$2,Galerias!$A$2:$A$37,0))^($A12-1),0))</f>
        <v/>
      </c>
      <c r="V12" s="43">
        <f>IF(AND(INDEX(Galerias!$M$2:$M$37,MATCH(V$2,Galerias!$A$2:$A$37,0))&lt;&gt;"",$A12&gt;INDEX(Galerias!$M$2:$M$37,MATCH(V$2,Galerias!$A$2:$A$37,0))),"",ROUND(INDEX(Galerias!$N$2:$N$37,MATCH(V$2,Galerias!$A$2:$A$37,0))*INDEX(Galerias!$O$2:$O$37,MATCH(V$2,Galerias!$A$2:$A$37,0))^($A12-1),0))</f>
        <v/>
      </c>
      <c r="W12" s="43">
        <f>IF(AND(INDEX(Galerias!$M$2:$M$37,MATCH(W$2,Galerias!$A$2:$A$37,0))&lt;&gt;"",$A12&gt;INDEX(Galerias!$M$2:$M$37,MATCH(W$2,Galerias!$A$2:$A$37,0))),"",ROUND(INDEX(Galerias!$N$2:$N$37,MATCH(W$2,Galerias!$A$2:$A$37,0))*INDEX(Galerias!$O$2:$O$37,MATCH(W$2,Galerias!$A$2:$A$37,0))^($A12-1),0))</f>
        <v/>
      </c>
      <c r="X12" s="43">
        <f>IF(AND(INDEX(Galerias!$M$2:$M$37,MATCH(X$2,Galerias!$A$2:$A$37,0))&lt;&gt;"",$A12&gt;INDEX(Galerias!$M$2:$M$37,MATCH(X$2,Galerias!$A$2:$A$37,0))),"",ROUND(INDEX(Galerias!$N$2:$N$37,MATCH(X$2,Galerias!$A$2:$A$37,0))*INDEX(Galerias!$O$2:$O$37,MATCH(X$2,Galerias!$A$2:$A$37,0))^($A12-1),0))</f>
        <v/>
      </c>
      <c r="Y12" s="43">
        <f>IF(AND(INDEX(Galerias!$M$2:$M$37,MATCH(Y$2,Galerias!$A$2:$A$37,0))&lt;&gt;"",$A12&gt;INDEX(Galerias!$M$2:$M$37,MATCH(Y$2,Galerias!$A$2:$A$37,0))),"",ROUND(INDEX(Galerias!$N$2:$N$37,MATCH(Y$2,Galerias!$A$2:$A$37,0))*INDEX(Galerias!$O$2:$O$37,MATCH(Y$2,Galerias!$A$2:$A$37,0))^($A12-1),0))</f>
        <v/>
      </c>
      <c r="Z12" s="43">
        <f>IF(AND(INDEX(Galerias!$M$2:$M$37,MATCH(Z$2,Galerias!$A$2:$A$37,0))&lt;&gt;"",$A12&gt;INDEX(Galerias!$M$2:$M$37,MATCH(Z$2,Galerias!$A$2:$A$37,0))),"",ROUND(INDEX(Galerias!$N$2:$N$37,MATCH(Z$2,Galerias!$A$2:$A$37,0))*INDEX(Galerias!$O$2:$O$37,MATCH(Z$2,Galerias!$A$2:$A$37,0))^($A12-1),0))</f>
        <v/>
      </c>
      <c r="AA12" s="43">
        <f>IF(AND(INDEX(Galerias!$M$2:$M$37,MATCH(AA$2,Galerias!$A$2:$A$37,0))&lt;&gt;"",$A12&gt;INDEX(Galerias!$M$2:$M$37,MATCH(AA$2,Galerias!$A$2:$A$37,0))),"",ROUND(INDEX(Galerias!$N$2:$N$37,MATCH(AA$2,Galerias!$A$2:$A$37,0))*INDEX(Galerias!$O$2:$O$37,MATCH(AA$2,Galerias!$A$2:$A$37,0))^($A12-1),0))</f>
        <v/>
      </c>
      <c r="AB12" s="43">
        <f>IF(AND(INDEX(Galerias!$M$2:$M$37,MATCH(AB$2,Galerias!$A$2:$A$37,0))&lt;&gt;"",$A12&gt;INDEX(Galerias!$M$2:$M$37,MATCH(AB$2,Galerias!$A$2:$A$37,0))),"",ROUND(INDEX(Galerias!$N$2:$N$37,MATCH(AB$2,Galerias!$A$2:$A$37,0))*INDEX(Galerias!$O$2:$O$37,MATCH(AB$2,Galerias!$A$2:$A$37,0))^($A12-1),0))</f>
        <v/>
      </c>
      <c r="AC12" s="43">
        <f>IF(AND(INDEX(Galerias!$M$2:$M$37,MATCH(AC$2,Galerias!$A$2:$A$37,0))&lt;&gt;"",$A12&gt;INDEX(Galerias!$M$2:$M$37,MATCH(AC$2,Galerias!$A$2:$A$37,0))),"",ROUND(INDEX(Galerias!$N$2:$N$37,MATCH(AC$2,Galerias!$A$2:$A$37,0))*INDEX(Galerias!$O$2:$O$37,MATCH(AC$2,Galerias!$A$2:$A$37,0))^($A12-1),0))</f>
        <v/>
      </c>
      <c r="AD12" s="43">
        <f>IF(AND(INDEX(Galerias!$M$2:$M$37,MATCH(AD$2,Galerias!$A$2:$A$37,0))&lt;&gt;"",$A12&gt;INDEX(Galerias!$M$2:$M$37,MATCH(AD$2,Galerias!$A$2:$A$37,0))),"",ROUND(INDEX(Galerias!$N$2:$N$37,MATCH(AD$2,Galerias!$A$2:$A$37,0))*INDEX(Galerias!$O$2:$O$37,MATCH(AD$2,Galerias!$A$2:$A$37,0))^($A12-1),0))</f>
        <v/>
      </c>
      <c r="AE12" s="43">
        <f>IF(AND(INDEX(Galerias!$M$2:$M$37,MATCH(AE$2,Galerias!$A$2:$A$37,0))&lt;&gt;"",$A12&gt;INDEX(Galerias!$M$2:$M$37,MATCH(AE$2,Galerias!$A$2:$A$37,0))),"",ROUND(INDEX(Galerias!$N$2:$N$37,MATCH(AE$2,Galerias!$A$2:$A$37,0))*INDEX(Galerias!$O$2:$O$37,MATCH(AE$2,Galerias!$A$2:$A$37,0))^($A12-1),0))</f>
        <v/>
      </c>
      <c r="AF12" s="43">
        <f>IF(AND(INDEX(Galerias!$M$2:$M$37,MATCH(AF$2,Galerias!$A$2:$A$37,0))&lt;&gt;"",$A12&gt;INDEX(Galerias!$M$2:$M$37,MATCH(AF$2,Galerias!$A$2:$A$37,0))),"",ROUND(INDEX(Galerias!$N$2:$N$37,MATCH(AF$2,Galerias!$A$2:$A$37,0))*INDEX(Galerias!$O$2:$O$37,MATCH(AF$2,Galerias!$A$2:$A$37,0))^($A12-1),0))</f>
        <v/>
      </c>
      <c r="AG12" s="43">
        <f>IF(AND(INDEX(Galerias!$M$2:$M$37,MATCH(AG$2,Galerias!$A$2:$A$37,0))&lt;&gt;"",$A12&gt;INDEX(Galerias!$M$2:$M$37,MATCH(AG$2,Galerias!$A$2:$A$37,0))),"",ROUND(INDEX(Galerias!$N$2:$N$37,MATCH(AG$2,Galerias!$A$2:$A$37,0))*INDEX(Galerias!$O$2:$O$37,MATCH(AG$2,Galerias!$A$2:$A$37,0))^($A12-1),0))</f>
        <v/>
      </c>
      <c r="AH12" s="43">
        <f>IF(AND(INDEX(Galerias!$M$2:$M$37,MATCH(AH$2,Galerias!$A$2:$A$37,0))&lt;&gt;"",$A12&gt;INDEX(Galerias!$M$2:$M$37,MATCH(AH$2,Galerias!$A$2:$A$37,0))),"",ROUND(INDEX(Galerias!$N$2:$N$37,MATCH(AH$2,Galerias!$A$2:$A$37,0))*INDEX(Galerias!$O$2:$O$37,MATCH(AH$2,Galerias!$A$2:$A$37,0))^($A12-1),0))</f>
        <v/>
      </c>
      <c r="AI12" s="43">
        <f>IF(AND(INDEX(Galerias!$M$2:$M$37,MATCH(AI$2,Galerias!$A$2:$A$37,0))&lt;&gt;"",$A12&gt;INDEX(Galerias!$M$2:$M$37,MATCH(AI$2,Galerias!$A$2:$A$37,0))),"",ROUND(INDEX(Galerias!$N$2:$N$37,MATCH(AI$2,Galerias!$A$2:$A$37,0))*INDEX(Galerias!$O$2:$O$37,MATCH(AI$2,Galerias!$A$2:$A$37,0))^($A12-1),0))</f>
        <v/>
      </c>
      <c r="AJ12" s="43">
        <f>IF(AND(INDEX(Galerias!$M$2:$M$37,MATCH(AJ$2,Galerias!$A$2:$A$37,0))&lt;&gt;"",$A12&gt;INDEX(Galerias!$M$2:$M$37,MATCH(AJ$2,Galerias!$A$2:$A$37,0))),"",ROUND(INDEX(Galerias!$N$2:$N$37,MATCH(AJ$2,Galerias!$A$2:$A$37,0))*INDEX(Galerias!$O$2:$O$37,MATCH(AJ$2,Galerias!$A$2:$A$37,0))^($A12-1),0))</f>
        <v/>
      </c>
      <c r="AK12" s="43">
        <f>IF(AND(INDEX(Galerias!$M$2:$M$37,MATCH(AK$2,Galerias!$A$2:$A$37,0))&lt;&gt;"",$A12&gt;INDEX(Galerias!$M$2:$M$37,MATCH(AK$2,Galerias!$A$2:$A$37,0))),"",ROUND(INDEX(Galerias!$N$2:$N$37,MATCH(AK$2,Galerias!$A$2:$A$37,0))*INDEX(Galerias!$O$2:$O$37,MATCH(AK$2,Galerias!$A$2:$A$37,0))^($A12-1),0))</f>
        <v/>
      </c>
    </row>
    <row r="13" ht="15" customHeight="1" s="23">
      <c r="A13" s="25" t="n">
        <v>11</v>
      </c>
      <c r="B13" s="43">
        <f>IF(AND(INDEX(Galerias!$M$2:$M$37,MATCH(B$2,Galerias!$A$2:$A$37,0))&lt;&gt;"",$A13&gt;INDEX(Galerias!$M$2:$M$37,MATCH(B$2,Galerias!$A$2:$A$37,0))),"",ROUND(INDEX(Galerias!$N$2:$N$37,MATCH(B$2,Galerias!$A$2:$A$37,0))*INDEX(Galerias!$O$2:$O$37,MATCH(B$2,Galerias!$A$2:$A$37,0))^($A13-1),0))</f>
        <v/>
      </c>
      <c r="C13" s="43">
        <f>IF(AND(INDEX(Galerias!$M$2:$M$37,MATCH(C$2,Galerias!$A$2:$A$37,0))&lt;&gt;"",$A13&gt;INDEX(Galerias!$M$2:$M$37,MATCH(C$2,Galerias!$A$2:$A$37,0))),"",ROUND(INDEX(Galerias!$N$2:$N$37,MATCH(C$2,Galerias!$A$2:$A$37,0))*INDEX(Galerias!$O$2:$O$37,MATCH(C$2,Galerias!$A$2:$A$37,0))^($A13-1),0))</f>
        <v/>
      </c>
      <c r="D13" s="43">
        <f>IF(AND(INDEX(Galerias!$M$2:$M$37,MATCH(D$2,Galerias!$A$2:$A$37,0))&lt;&gt;"",$A13&gt;INDEX(Galerias!$M$2:$M$37,MATCH(D$2,Galerias!$A$2:$A$37,0))),"",ROUND(INDEX(Galerias!$N$2:$N$37,MATCH(D$2,Galerias!$A$2:$A$37,0))*INDEX(Galerias!$O$2:$O$37,MATCH(D$2,Galerias!$A$2:$A$37,0))^($A13-1),0))</f>
        <v/>
      </c>
      <c r="E13" s="43">
        <f>IF(AND(INDEX(Galerias!$M$2:$M$37,MATCH(E$2,Galerias!$A$2:$A$37,0))&lt;&gt;"",$A13&gt;INDEX(Galerias!$M$2:$M$37,MATCH(E$2,Galerias!$A$2:$A$37,0))),"",ROUND(INDEX(Galerias!$N$2:$N$37,MATCH(E$2,Galerias!$A$2:$A$37,0))*INDEX(Galerias!$O$2:$O$37,MATCH(E$2,Galerias!$A$2:$A$37,0))^($A13-1),0))</f>
        <v/>
      </c>
      <c r="F13" s="43">
        <f>IF(AND(INDEX(Galerias!$M$2:$M$37,MATCH(F$2,Galerias!$A$2:$A$37,0))&lt;&gt;"",$A13&gt;INDEX(Galerias!$M$2:$M$37,MATCH(F$2,Galerias!$A$2:$A$37,0))),"",ROUND(INDEX(Galerias!$N$2:$N$37,MATCH(F$2,Galerias!$A$2:$A$37,0))*INDEX(Galerias!$O$2:$O$37,MATCH(F$2,Galerias!$A$2:$A$37,0))^($A13-1),0))</f>
        <v/>
      </c>
      <c r="G13" s="43">
        <f>IF(AND(INDEX(Galerias!$M$2:$M$37,MATCH(G$2,Galerias!$A$2:$A$37,0))&lt;&gt;"",$A13&gt;INDEX(Galerias!$M$2:$M$37,MATCH(G$2,Galerias!$A$2:$A$37,0))),"",ROUND(INDEX(Galerias!$N$2:$N$37,MATCH(G$2,Galerias!$A$2:$A$37,0))*INDEX(Galerias!$O$2:$O$37,MATCH(G$2,Galerias!$A$2:$A$37,0))^($A13-1),0))</f>
        <v/>
      </c>
      <c r="H13" s="43">
        <f>IF(AND(INDEX(Galerias!$M$2:$M$37,MATCH(H$2,Galerias!$A$2:$A$37,0))&lt;&gt;"",$A13&gt;INDEX(Galerias!$M$2:$M$37,MATCH(H$2,Galerias!$A$2:$A$37,0))),"",ROUND(INDEX(Galerias!$N$2:$N$37,MATCH(H$2,Galerias!$A$2:$A$37,0))*INDEX(Galerias!$O$2:$O$37,MATCH(H$2,Galerias!$A$2:$A$37,0))^($A13-1),0))</f>
        <v/>
      </c>
      <c r="I13" s="43">
        <f>IF(AND(INDEX(Galerias!$M$2:$M$37,MATCH(I$2,Galerias!$A$2:$A$37,0))&lt;&gt;"",$A13&gt;INDEX(Galerias!$M$2:$M$37,MATCH(I$2,Galerias!$A$2:$A$37,0))),"",ROUND(INDEX(Galerias!$N$2:$N$37,MATCH(I$2,Galerias!$A$2:$A$37,0))*INDEX(Galerias!$O$2:$O$37,MATCH(I$2,Galerias!$A$2:$A$37,0))^($A13-1),0))</f>
        <v/>
      </c>
      <c r="J13" s="43">
        <f>IF(AND(INDEX(Galerias!$M$2:$M$37,MATCH(J$2,Galerias!$A$2:$A$37,0))&lt;&gt;"",$A13&gt;INDEX(Galerias!$M$2:$M$37,MATCH(J$2,Galerias!$A$2:$A$37,0))),"",ROUND(INDEX(Galerias!$N$2:$N$37,MATCH(J$2,Galerias!$A$2:$A$37,0))*INDEX(Galerias!$O$2:$O$37,MATCH(J$2,Galerias!$A$2:$A$37,0))^($A13-1),0))</f>
        <v/>
      </c>
      <c r="K13" s="43">
        <f>IF(AND(INDEX(Galerias!$M$2:$M$37,MATCH(K$2,Galerias!$A$2:$A$37,0))&lt;&gt;"",$A13&gt;INDEX(Galerias!$M$2:$M$37,MATCH(K$2,Galerias!$A$2:$A$37,0))),"",ROUND(INDEX(Galerias!$N$2:$N$37,MATCH(K$2,Galerias!$A$2:$A$37,0))*INDEX(Galerias!$O$2:$O$37,MATCH(K$2,Galerias!$A$2:$A$37,0))^($A13-1),0))</f>
        <v/>
      </c>
      <c r="L13" s="43">
        <f>IF(AND(INDEX(Galerias!$M$2:$M$37,MATCH(L$2,Galerias!$A$2:$A$37,0))&lt;&gt;"",$A13&gt;INDEX(Galerias!$M$2:$M$37,MATCH(L$2,Galerias!$A$2:$A$37,0))),"",ROUND(INDEX(Galerias!$N$2:$N$37,MATCH(L$2,Galerias!$A$2:$A$37,0))*INDEX(Galerias!$O$2:$O$37,MATCH(L$2,Galerias!$A$2:$A$37,0))^($A13-1),0))</f>
        <v/>
      </c>
      <c r="M13" s="43">
        <f>IF(AND(INDEX(Galerias!$M$2:$M$37,MATCH(M$2,Galerias!$A$2:$A$37,0))&lt;&gt;"",$A13&gt;INDEX(Galerias!$M$2:$M$37,MATCH(M$2,Galerias!$A$2:$A$37,0))),"",ROUND(INDEX(Galerias!$N$2:$N$37,MATCH(M$2,Galerias!$A$2:$A$37,0))*INDEX(Galerias!$O$2:$O$37,MATCH(M$2,Galerias!$A$2:$A$37,0))^($A13-1),0))</f>
        <v/>
      </c>
      <c r="N13" s="43">
        <f>IF(AND(INDEX(Galerias!$M$2:$M$37,MATCH(N$2,Galerias!$A$2:$A$37,0))&lt;&gt;"",$A13&gt;INDEX(Galerias!$M$2:$M$37,MATCH(N$2,Galerias!$A$2:$A$37,0))),"",ROUND(INDEX(Galerias!$N$2:$N$37,MATCH(N$2,Galerias!$A$2:$A$37,0))*INDEX(Galerias!$O$2:$O$37,MATCH(N$2,Galerias!$A$2:$A$37,0))^($A13-1),0))</f>
        <v/>
      </c>
      <c r="O13" s="43">
        <f>IF(AND(INDEX(Galerias!$M$2:$M$37,MATCH(O$2,Galerias!$A$2:$A$37,0))&lt;&gt;"",$A13&gt;INDEX(Galerias!$M$2:$M$37,MATCH(O$2,Galerias!$A$2:$A$37,0))),"",ROUND(INDEX(Galerias!$N$2:$N$37,MATCH(O$2,Galerias!$A$2:$A$37,0))*INDEX(Galerias!$O$2:$O$37,MATCH(O$2,Galerias!$A$2:$A$37,0))^($A13-1),0))</f>
        <v/>
      </c>
      <c r="P13" s="43">
        <f>IF(AND(INDEX(Galerias!$M$2:$M$37,MATCH(P$2,Galerias!$A$2:$A$37,0))&lt;&gt;"",$A13&gt;INDEX(Galerias!$M$2:$M$37,MATCH(P$2,Galerias!$A$2:$A$37,0))),"",ROUND(INDEX(Galerias!$N$2:$N$37,MATCH(P$2,Galerias!$A$2:$A$37,0))*INDEX(Galerias!$O$2:$O$37,MATCH(P$2,Galerias!$A$2:$A$37,0))^($A13-1),0))</f>
        <v/>
      </c>
      <c r="Q13" s="43">
        <f>IF(AND(INDEX(Galerias!$M$2:$M$37,MATCH(Q$2,Galerias!$A$2:$A$37,0))&lt;&gt;"",$A13&gt;INDEX(Galerias!$M$2:$M$37,MATCH(Q$2,Galerias!$A$2:$A$37,0))),"",ROUND(INDEX(Galerias!$N$2:$N$37,MATCH(Q$2,Galerias!$A$2:$A$37,0))*INDEX(Galerias!$O$2:$O$37,MATCH(Q$2,Galerias!$A$2:$A$37,0))^($A13-1),0))</f>
        <v/>
      </c>
      <c r="R13" s="43">
        <f>IF(AND(INDEX(Galerias!$M$2:$M$37,MATCH(R$2,Galerias!$A$2:$A$37,0))&lt;&gt;"",$A13&gt;INDEX(Galerias!$M$2:$M$37,MATCH(R$2,Galerias!$A$2:$A$37,0))),"",ROUND(INDEX(Galerias!$N$2:$N$37,MATCH(R$2,Galerias!$A$2:$A$37,0))*INDEX(Galerias!$O$2:$O$37,MATCH(R$2,Galerias!$A$2:$A$37,0))^($A13-1),0))</f>
        <v/>
      </c>
      <c r="S13" s="43">
        <f>IF(AND(INDEX(Galerias!$M$2:$M$37,MATCH(S$2,Galerias!$A$2:$A$37,0))&lt;&gt;"",$A13&gt;INDEX(Galerias!$M$2:$M$37,MATCH(S$2,Galerias!$A$2:$A$37,0))),"",ROUND(INDEX(Galerias!$N$2:$N$37,MATCH(S$2,Galerias!$A$2:$A$37,0))*INDEX(Galerias!$O$2:$O$37,MATCH(S$2,Galerias!$A$2:$A$37,0))^($A13-1),0))</f>
        <v/>
      </c>
      <c r="T13" s="43">
        <f>IF(AND(INDEX(Galerias!$M$2:$M$37,MATCH(T$2,Galerias!$A$2:$A$37,0))&lt;&gt;"",$A13&gt;INDEX(Galerias!$M$2:$M$37,MATCH(T$2,Galerias!$A$2:$A$37,0))),"",ROUND(INDEX(Galerias!$N$2:$N$37,MATCH(T$2,Galerias!$A$2:$A$37,0))*INDEX(Galerias!$O$2:$O$37,MATCH(T$2,Galerias!$A$2:$A$37,0))^($A13-1),0))</f>
        <v/>
      </c>
      <c r="U13" s="43">
        <f>IF(AND(INDEX(Galerias!$M$2:$M$37,MATCH(U$2,Galerias!$A$2:$A$37,0))&lt;&gt;"",$A13&gt;INDEX(Galerias!$M$2:$M$37,MATCH(U$2,Galerias!$A$2:$A$37,0))),"",ROUND(INDEX(Galerias!$N$2:$N$37,MATCH(U$2,Galerias!$A$2:$A$37,0))*INDEX(Galerias!$O$2:$O$37,MATCH(U$2,Galerias!$A$2:$A$37,0))^($A13-1),0))</f>
        <v/>
      </c>
      <c r="V13" s="43">
        <f>IF(AND(INDEX(Galerias!$M$2:$M$37,MATCH(V$2,Galerias!$A$2:$A$37,0))&lt;&gt;"",$A13&gt;INDEX(Galerias!$M$2:$M$37,MATCH(V$2,Galerias!$A$2:$A$37,0))),"",ROUND(INDEX(Galerias!$N$2:$N$37,MATCH(V$2,Galerias!$A$2:$A$37,0))*INDEX(Galerias!$O$2:$O$37,MATCH(V$2,Galerias!$A$2:$A$37,0))^($A13-1),0))</f>
        <v/>
      </c>
      <c r="W13" s="43">
        <f>IF(AND(INDEX(Galerias!$M$2:$M$37,MATCH(W$2,Galerias!$A$2:$A$37,0))&lt;&gt;"",$A13&gt;INDEX(Galerias!$M$2:$M$37,MATCH(W$2,Galerias!$A$2:$A$37,0))),"",ROUND(INDEX(Galerias!$N$2:$N$37,MATCH(W$2,Galerias!$A$2:$A$37,0))*INDEX(Galerias!$O$2:$O$37,MATCH(W$2,Galerias!$A$2:$A$37,0))^($A13-1),0))</f>
        <v/>
      </c>
      <c r="X13" s="43">
        <f>IF(AND(INDEX(Galerias!$M$2:$M$37,MATCH(X$2,Galerias!$A$2:$A$37,0))&lt;&gt;"",$A13&gt;INDEX(Galerias!$M$2:$M$37,MATCH(X$2,Galerias!$A$2:$A$37,0))),"",ROUND(INDEX(Galerias!$N$2:$N$37,MATCH(X$2,Galerias!$A$2:$A$37,0))*INDEX(Galerias!$O$2:$O$37,MATCH(X$2,Galerias!$A$2:$A$37,0))^($A13-1),0))</f>
        <v/>
      </c>
      <c r="Y13" s="43">
        <f>IF(AND(INDEX(Galerias!$M$2:$M$37,MATCH(Y$2,Galerias!$A$2:$A$37,0))&lt;&gt;"",$A13&gt;INDEX(Galerias!$M$2:$M$37,MATCH(Y$2,Galerias!$A$2:$A$37,0))),"",ROUND(INDEX(Galerias!$N$2:$N$37,MATCH(Y$2,Galerias!$A$2:$A$37,0))*INDEX(Galerias!$O$2:$O$37,MATCH(Y$2,Galerias!$A$2:$A$37,0))^($A13-1),0))</f>
        <v/>
      </c>
      <c r="Z13" s="43">
        <f>IF(AND(INDEX(Galerias!$M$2:$M$37,MATCH(Z$2,Galerias!$A$2:$A$37,0))&lt;&gt;"",$A13&gt;INDEX(Galerias!$M$2:$M$37,MATCH(Z$2,Galerias!$A$2:$A$37,0))),"",ROUND(INDEX(Galerias!$N$2:$N$37,MATCH(Z$2,Galerias!$A$2:$A$37,0))*INDEX(Galerias!$O$2:$O$37,MATCH(Z$2,Galerias!$A$2:$A$37,0))^($A13-1),0))</f>
        <v/>
      </c>
      <c r="AA13" s="43">
        <f>IF(AND(INDEX(Galerias!$M$2:$M$37,MATCH(AA$2,Galerias!$A$2:$A$37,0))&lt;&gt;"",$A13&gt;INDEX(Galerias!$M$2:$M$37,MATCH(AA$2,Galerias!$A$2:$A$37,0))),"",ROUND(INDEX(Galerias!$N$2:$N$37,MATCH(AA$2,Galerias!$A$2:$A$37,0))*INDEX(Galerias!$O$2:$O$37,MATCH(AA$2,Galerias!$A$2:$A$37,0))^($A13-1),0))</f>
        <v/>
      </c>
      <c r="AB13" s="43">
        <f>IF(AND(INDEX(Galerias!$M$2:$M$37,MATCH(AB$2,Galerias!$A$2:$A$37,0))&lt;&gt;"",$A13&gt;INDEX(Galerias!$M$2:$M$37,MATCH(AB$2,Galerias!$A$2:$A$37,0))),"",ROUND(INDEX(Galerias!$N$2:$N$37,MATCH(AB$2,Galerias!$A$2:$A$37,0))*INDEX(Galerias!$O$2:$O$37,MATCH(AB$2,Galerias!$A$2:$A$37,0))^($A13-1),0))</f>
        <v/>
      </c>
      <c r="AC13" s="43">
        <f>IF(AND(INDEX(Galerias!$M$2:$M$37,MATCH(AC$2,Galerias!$A$2:$A$37,0))&lt;&gt;"",$A13&gt;INDEX(Galerias!$M$2:$M$37,MATCH(AC$2,Galerias!$A$2:$A$37,0))),"",ROUND(INDEX(Galerias!$N$2:$N$37,MATCH(AC$2,Galerias!$A$2:$A$37,0))*INDEX(Galerias!$O$2:$O$37,MATCH(AC$2,Galerias!$A$2:$A$37,0))^($A13-1),0))</f>
        <v/>
      </c>
      <c r="AD13" s="43">
        <f>IF(AND(INDEX(Galerias!$M$2:$M$37,MATCH(AD$2,Galerias!$A$2:$A$37,0))&lt;&gt;"",$A13&gt;INDEX(Galerias!$M$2:$M$37,MATCH(AD$2,Galerias!$A$2:$A$37,0))),"",ROUND(INDEX(Galerias!$N$2:$N$37,MATCH(AD$2,Galerias!$A$2:$A$37,0))*INDEX(Galerias!$O$2:$O$37,MATCH(AD$2,Galerias!$A$2:$A$37,0))^($A13-1),0))</f>
        <v/>
      </c>
      <c r="AE13" s="43">
        <f>IF(AND(INDEX(Galerias!$M$2:$M$37,MATCH(AE$2,Galerias!$A$2:$A$37,0))&lt;&gt;"",$A13&gt;INDEX(Galerias!$M$2:$M$37,MATCH(AE$2,Galerias!$A$2:$A$37,0))),"",ROUND(INDEX(Galerias!$N$2:$N$37,MATCH(AE$2,Galerias!$A$2:$A$37,0))*INDEX(Galerias!$O$2:$O$37,MATCH(AE$2,Galerias!$A$2:$A$37,0))^($A13-1),0))</f>
        <v/>
      </c>
      <c r="AF13" s="43">
        <f>IF(AND(INDEX(Galerias!$M$2:$M$37,MATCH(AF$2,Galerias!$A$2:$A$37,0))&lt;&gt;"",$A13&gt;INDEX(Galerias!$M$2:$M$37,MATCH(AF$2,Galerias!$A$2:$A$37,0))),"",ROUND(INDEX(Galerias!$N$2:$N$37,MATCH(AF$2,Galerias!$A$2:$A$37,0))*INDEX(Galerias!$O$2:$O$37,MATCH(AF$2,Galerias!$A$2:$A$37,0))^($A13-1),0))</f>
        <v/>
      </c>
      <c r="AG13" s="43">
        <f>IF(AND(INDEX(Galerias!$M$2:$M$37,MATCH(AG$2,Galerias!$A$2:$A$37,0))&lt;&gt;"",$A13&gt;INDEX(Galerias!$M$2:$M$37,MATCH(AG$2,Galerias!$A$2:$A$37,0))),"",ROUND(INDEX(Galerias!$N$2:$N$37,MATCH(AG$2,Galerias!$A$2:$A$37,0))*INDEX(Galerias!$O$2:$O$37,MATCH(AG$2,Galerias!$A$2:$A$37,0))^($A13-1),0))</f>
        <v/>
      </c>
      <c r="AH13" s="43">
        <f>IF(AND(INDEX(Galerias!$M$2:$M$37,MATCH(AH$2,Galerias!$A$2:$A$37,0))&lt;&gt;"",$A13&gt;INDEX(Galerias!$M$2:$M$37,MATCH(AH$2,Galerias!$A$2:$A$37,0))),"",ROUND(INDEX(Galerias!$N$2:$N$37,MATCH(AH$2,Galerias!$A$2:$A$37,0))*INDEX(Galerias!$O$2:$O$37,MATCH(AH$2,Galerias!$A$2:$A$37,0))^($A13-1),0))</f>
        <v/>
      </c>
      <c r="AI13" s="43">
        <f>IF(AND(INDEX(Galerias!$M$2:$M$37,MATCH(AI$2,Galerias!$A$2:$A$37,0))&lt;&gt;"",$A13&gt;INDEX(Galerias!$M$2:$M$37,MATCH(AI$2,Galerias!$A$2:$A$37,0))),"",ROUND(INDEX(Galerias!$N$2:$N$37,MATCH(AI$2,Galerias!$A$2:$A$37,0))*INDEX(Galerias!$O$2:$O$37,MATCH(AI$2,Galerias!$A$2:$A$37,0))^($A13-1),0))</f>
        <v/>
      </c>
      <c r="AJ13" s="43">
        <f>IF(AND(INDEX(Galerias!$M$2:$M$37,MATCH(AJ$2,Galerias!$A$2:$A$37,0))&lt;&gt;"",$A13&gt;INDEX(Galerias!$M$2:$M$37,MATCH(AJ$2,Galerias!$A$2:$A$37,0))),"",ROUND(INDEX(Galerias!$N$2:$N$37,MATCH(AJ$2,Galerias!$A$2:$A$37,0))*INDEX(Galerias!$O$2:$O$37,MATCH(AJ$2,Galerias!$A$2:$A$37,0))^($A13-1),0))</f>
        <v/>
      </c>
      <c r="AK13" s="43">
        <f>IF(AND(INDEX(Galerias!$M$2:$M$37,MATCH(AK$2,Galerias!$A$2:$A$37,0))&lt;&gt;"",$A13&gt;INDEX(Galerias!$M$2:$M$37,MATCH(AK$2,Galerias!$A$2:$A$37,0))),"",ROUND(INDEX(Galerias!$N$2:$N$37,MATCH(AK$2,Galerias!$A$2:$A$37,0))*INDEX(Galerias!$O$2:$O$37,MATCH(AK$2,Galerias!$A$2:$A$37,0))^($A13-1),0))</f>
        <v/>
      </c>
    </row>
    <row r="14" ht="15" customHeight="1" s="23">
      <c r="A14" s="25" t="n">
        <v>12</v>
      </c>
      <c r="B14" s="43">
        <f>IF(AND(INDEX(Galerias!$M$2:$M$37,MATCH(B$2,Galerias!$A$2:$A$37,0))&lt;&gt;"",$A14&gt;INDEX(Galerias!$M$2:$M$37,MATCH(B$2,Galerias!$A$2:$A$37,0))),"",ROUND(INDEX(Galerias!$N$2:$N$37,MATCH(B$2,Galerias!$A$2:$A$37,0))*INDEX(Galerias!$O$2:$O$37,MATCH(B$2,Galerias!$A$2:$A$37,0))^($A14-1),0))</f>
        <v/>
      </c>
      <c r="C14" s="43">
        <f>IF(AND(INDEX(Galerias!$M$2:$M$37,MATCH(C$2,Galerias!$A$2:$A$37,0))&lt;&gt;"",$A14&gt;INDEX(Galerias!$M$2:$M$37,MATCH(C$2,Galerias!$A$2:$A$37,0))),"",ROUND(INDEX(Galerias!$N$2:$N$37,MATCH(C$2,Galerias!$A$2:$A$37,0))*INDEX(Galerias!$O$2:$O$37,MATCH(C$2,Galerias!$A$2:$A$37,0))^($A14-1),0))</f>
        <v/>
      </c>
      <c r="D14" s="43">
        <f>IF(AND(INDEX(Galerias!$M$2:$M$37,MATCH(D$2,Galerias!$A$2:$A$37,0))&lt;&gt;"",$A14&gt;INDEX(Galerias!$M$2:$M$37,MATCH(D$2,Galerias!$A$2:$A$37,0))),"",ROUND(INDEX(Galerias!$N$2:$N$37,MATCH(D$2,Galerias!$A$2:$A$37,0))*INDEX(Galerias!$O$2:$O$37,MATCH(D$2,Galerias!$A$2:$A$37,0))^($A14-1),0))</f>
        <v/>
      </c>
      <c r="E14" s="43">
        <f>IF(AND(INDEX(Galerias!$M$2:$M$37,MATCH(E$2,Galerias!$A$2:$A$37,0))&lt;&gt;"",$A14&gt;INDEX(Galerias!$M$2:$M$37,MATCH(E$2,Galerias!$A$2:$A$37,0))),"",ROUND(INDEX(Galerias!$N$2:$N$37,MATCH(E$2,Galerias!$A$2:$A$37,0))*INDEX(Galerias!$O$2:$O$37,MATCH(E$2,Galerias!$A$2:$A$37,0))^($A14-1),0))</f>
        <v/>
      </c>
      <c r="F14" s="43">
        <f>IF(AND(INDEX(Galerias!$M$2:$M$37,MATCH(F$2,Galerias!$A$2:$A$37,0))&lt;&gt;"",$A14&gt;INDEX(Galerias!$M$2:$M$37,MATCH(F$2,Galerias!$A$2:$A$37,0))),"",ROUND(INDEX(Galerias!$N$2:$N$37,MATCH(F$2,Galerias!$A$2:$A$37,0))*INDEX(Galerias!$O$2:$O$37,MATCH(F$2,Galerias!$A$2:$A$37,0))^($A14-1),0))</f>
        <v/>
      </c>
      <c r="G14" s="43">
        <f>IF(AND(INDEX(Galerias!$M$2:$M$37,MATCH(G$2,Galerias!$A$2:$A$37,0))&lt;&gt;"",$A14&gt;INDEX(Galerias!$M$2:$M$37,MATCH(G$2,Galerias!$A$2:$A$37,0))),"",ROUND(INDEX(Galerias!$N$2:$N$37,MATCH(G$2,Galerias!$A$2:$A$37,0))*INDEX(Galerias!$O$2:$O$37,MATCH(G$2,Galerias!$A$2:$A$37,0))^($A14-1),0))</f>
        <v/>
      </c>
      <c r="H14" s="43">
        <f>IF(AND(INDEX(Galerias!$M$2:$M$37,MATCH(H$2,Galerias!$A$2:$A$37,0))&lt;&gt;"",$A14&gt;INDEX(Galerias!$M$2:$M$37,MATCH(H$2,Galerias!$A$2:$A$37,0))),"",ROUND(INDEX(Galerias!$N$2:$N$37,MATCH(H$2,Galerias!$A$2:$A$37,0))*INDEX(Galerias!$O$2:$O$37,MATCH(H$2,Galerias!$A$2:$A$37,0))^($A14-1),0))</f>
        <v/>
      </c>
      <c r="I14" s="43">
        <f>IF(AND(INDEX(Galerias!$M$2:$M$37,MATCH(I$2,Galerias!$A$2:$A$37,0))&lt;&gt;"",$A14&gt;INDEX(Galerias!$M$2:$M$37,MATCH(I$2,Galerias!$A$2:$A$37,0))),"",ROUND(INDEX(Galerias!$N$2:$N$37,MATCH(I$2,Galerias!$A$2:$A$37,0))*INDEX(Galerias!$O$2:$O$37,MATCH(I$2,Galerias!$A$2:$A$37,0))^($A14-1),0))</f>
        <v/>
      </c>
      <c r="J14" s="43">
        <f>IF(AND(INDEX(Galerias!$M$2:$M$37,MATCH(J$2,Galerias!$A$2:$A$37,0))&lt;&gt;"",$A14&gt;INDEX(Galerias!$M$2:$M$37,MATCH(J$2,Galerias!$A$2:$A$37,0))),"",ROUND(INDEX(Galerias!$N$2:$N$37,MATCH(J$2,Galerias!$A$2:$A$37,0))*INDEX(Galerias!$O$2:$O$37,MATCH(J$2,Galerias!$A$2:$A$37,0))^($A14-1),0))</f>
        <v/>
      </c>
      <c r="K14" s="43">
        <f>IF(AND(INDEX(Galerias!$M$2:$M$37,MATCH(K$2,Galerias!$A$2:$A$37,0))&lt;&gt;"",$A14&gt;INDEX(Galerias!$M$2:$M$37,MATCH(K$2,Galerias!$A$2:$A$37,0))),"",ROUND(INDEX(Galerias!$N$2:$N$37,MATCH(K$2,Galerias!$A$2:$A$37,0))*INDEX(Galerias!$O$2:$O$37,MATCH(K$2,Galerias!$A$2:$A$37,0))^($A14-1),0))</f>
        <v/>
      </c>
      <c r="L14" s="43">
        <f>IF(AND(INDEX(Galerias!$M$2:$M$37,MATCH(L$2,Galerias!$A$2:$A$37,0))&lt;&gt;"",$A14&gt;INDEX(Galerias!$M$2:$M$37,MATCH(L$2,Galerias!$A$2:$A$37,0))),"",ROUND(INDEX(Galerias!$N$2:$N$37,MATCH(L$2,Galerias!$A$2:$A$37,0))*INDEX(Galerias!$O$2:$O$37,MATCH(L$2,Galerias!$A$2:$A$37,0))^($A14-1),0))</f>
        <v/>
      </c>
      <c r="M14" s="43">
        <f>IF(AND(INDEX(Galerias!$M$2:$M$37,MATCH(M$2,Galerias!$A$2:$A$37,0))&lt;&gt;"",$A14&gt;INDEX(Galerias!$M$2:$M$37,MATCH(M$2,Galerias!$A$2:$A$37,0))),"",ROUND(INDEX(Galerias!$N$2:$N$37,MATCH(M$2,Galerias!$A$2:$A$37,0))*INDEX(Galerias!$O$2:$O$37,MATCH(M$2,Galerias!$A$2:$A$37,0))^($A14-1),0))</f>
        <v/>
      </c>
      <c r="N14" s="43">
        <f>IF(AND(INDEX(Galerias!$M$2:$M$37,MATCH(N$2,Galerias!$A$2:$A$37,0))&lt;&gt;"",$A14&gt;INDEX(Galerias!$M$2:$M$37,MATCH(N$2,Galerias!$A$2:$A$37,0))),"",ROUND(INDEX(Galerias!$N$2:$N$37,MATCH(N$2,Galerias!$A$2:$A$37,0))*INDEX(Galerias!$O$2:$O$37,MATCH(N$2,Galerias!$A$2:$A$37,0))^($A14-1),0))</f>
        <v/>
      </c>
      <c r="O14" s="43">
        <f>IF(AND(INDEX(Galerias!$M$2:$M$37,MATCH(O$2,Galerias!$A$2:$A$37,0))&lt;&gt;"",$A14&gt;INDEX(Galerias!$M$2:$M$37,MATCH(O$2,Galerias!$A$2:$A$37,0))),"",ROUND(INDEX(Galerias!$N$2:$N$37,MATCH(O$2,Galerias!$A$2:$A$37,0))*INDEX(Galerias!$O$2:$O$37,MATCH(O$2,Galerias!$A$2:$A$37,0))^($A14-1),0))</f>
        <v/>
      </c>
      <c r="P14" s="43">
        <f>IF(AND(INDEX(Galerias!$M$2:$M$37,MATCH(P$2,Galerias!$A$2:$A$37,0))&lt;&gt;"",$A14&gt;INDEX(Galerias!$M$2:$M$37,MATCH(P$2,Galerias!$A$2:$A$37,0))),"",ROUND(INDEX(Galerias!$N$2:$N$37,MATCH(P$2,Galerias!$A$2:$A$37,0))*INDEX(Galerias!$O$2:$O$37,MATCH(P$2,Galerias!$A$2:$A$37,0))^($A14-1),0))</f>
        <v/>
      </c>
      <c r="Q14" s="43">
        <f>IF(AND(INDEX(Galerias!$M$2:$M$37,MATCH(Q$2,Galerias!$A$2:$A$37,0))&lt;&gt;"",$A14&gt;INDEX(Galerias!$M$2:$M$37,MATCH(Q$2,Galerias!$A$2:$A$37,0))),"",ROUND(INDEX(Galerias!$N$2:$N$37,MATCH(Q$2,Galerias!$A$2:$A$37,0))*INDEX(Galerias!$O$2:$O$37,MATCH(Q$2,Galerias!$A$2:$A$37,0))^($A14-1),0))</f>
        <v/>
      </c>
      <c r="R14" s="43">
        <f>IF(AND(INDEX(Galerias!$M$2:$M$37,MATCH(R$2,Galerias!$A$2:$A$37,0))&lt;&gt;"",$A14&gt;INDEX(Galerias!$M$2:$M$37,MATCH(R$2,Galerias!$A$2:$A$37,0))),"",ROUND(INDEX(Galerias!$N$2:$N$37,MATCH(R$2,Galerias!$A$2:$A$37,0))*INDEX(Galerias!$O$2:$O$37,MATCH(R$2,Galerias!$A$2:$A$37,0))^($A14-1),0))</f>
        <v/>
      </c>
      <c r="S14" s="43">
        <f>IF(AND(INDEX(Galerias!$M$2:$M$37,MATCH(S$2,Galerias!$A$2:$A$37,0))&lt;&gt;"",$A14&gt;INDEX(Galerias!$M$2:$M$37,MATCH(S$2,Galerias!$A$2:$A$37,0))),"",ROUND(INDEX(Galerias!$N$2:$N$37,MATCH(S$2,Galerias!$A$2:$A$37,0))*INDEX(Galerias!$O$2:$O$37,MATCH(S$2,Galerias!$A$2:$A$37,0))^($A14-1),0))</f>
        <v/>
      </c>
      <c r="T14" s="43">
        <f>IF(AND(INDEX(Galerias!$M$2:$M$37,MATCH(T$2,Galerias!$A$2:$A$37,0))&lt;&gt;"",$A14&gt;INDEX(Galerias!$M$2:$M$37,MATCH(T$2,Galerias!$A$2:$A$37,0))),"",ROUND(INDEX(Galerias!$N$2:$N$37,MATCH(T$2,Galerias!$A$2:$A$37,0))*INDEX(Galerias!$O$2:$O$37,MATCH(T$2,Galerias!$A$2:$A$37,0))^($A14-1),0))</f>
        <v/>
      </c>
      <c r="U14" s="43">
        <f>IF(AND(INDEX(Galerias!$M$2:$M$37,MATCH(U$2,Galerias!$A$2:$A$37,0))&lt;&gt;"",$A14&gt;INDEX(Galerias!$M$2:$M$37,MATCH(U$2,Galerias!$A$2:$A$37,0))),"",ROUND(INDEX(Galerias!$N$2:$N$37,MATCH(U$2,Galerias!$A$2:$A$37,0))*INDEX(Galerias!$O$2:$O$37,MATCH(U$2,Galerias!$A$2:$A$37,0))^($A14-1),0))</f>
        <v/>
      </c>
      <c r="V14" s="43">
        <f>IF(AND(INDEX(Galerias!$M$2:$M$37,MATCH(V$2,Galerias!$A$2:$A$37,0))&lt;&gt;"",$A14&gt;INDEX(Galerias!$M$2:$M$37,MATCH(V$2,Galerias!$A$2:$A$37,0))),"",ROUND(INDEX(Galerias!$N$2:$N$37,MATCH(V$2,Galerias!$A$2:$A$37,0))*INDEX(Galerias!$O$2:$O$37,MATCH(V$2,Galerias!$A$2:$A$37,0))^($A14-1),0))</f>
        <v/>
      </c>
      <c r="W14" s="43">
        <f>IF(AND(INDEX(Galerias!$M$2:$M$37,MATCH(W$2,Galerias!$A$2:$A$37,0))&lt;&gt;"",$A14&gt;INDEX(Galerias!$M$2:$M$37,MATCH(W$2,Galerias!$A$2:$A$37,0))),"",ROUND(INDEX(Galerias!$N$2:$N$37,MATCH(W$2,Galerias!$A$2:$A$37,0))*INDEX(Galerias!$O$2:$O$37,MATCH(W$2,Galerias!$A$2:$A$37,0))^($A14-1),0))</f>
        <v/>
      </c>
      <c r="X14" s="43">
        <f>IF(AND(INDEX(Galerias!$M$2:$M$37,MATCH(X$2,Galerias!$A$2:$A$37,0))&lt;&gt;"",$A14&gt;INDEX(Galerias!$M$2:$M$37,MATCH(X$2,Galerias!$A$2:$A$37,0))),"",ROUND(INDEX(Galerias!$N$2:$N$37,MATCH(X$2,Galerias!$A$2:$A$37,0))*INDEX(Galerias!$O$2:$O$37,MATCH(X$2,Galerias!$A$2:$A$37,0))^($A14-1),0))</f>
        <v/>
      </c>
      <c r="Y14" s="43">
        <f>IF(AND(INDEX(Galerias!$M$2:$M$37,MATCH(Y$2,Galerias!$A$2:$A$37,0))&lt;&gt;"",$A14&gt;INDEX(Galerias!$M$2:$M$37,MATCH(Y$2,Galerias!$A$2:$A$37,0))),"",ROUND(INDEX(Galerias!$N$2:$N$37,MATCH(Y$2,Galerias!$A$2:$A$37,0))*INDEX(Galerias!$O$2:$O$37,MATCH(Y$2,Galerias!$A$2:$A$37,0))^($A14-1),0))</f>
        <v/>
      </c>
      <c r="Z14" s="43">
        <f>IF(AND(INDEX(Galerias!$M$2:$M$37,MATCH(Z$2,Galerias!$A$2:$A$37,0))&lt;&gt;"",$A14&gt;INDEX(Galerias!$M$2:$M$37,MATCH(Z$2,Galerias!$A$2:$A$37,0))),"",ROUND(INDEX(Galerias!$N$2:$N$37,MATCH(Z$2,Galerias!$A$2:$A$37,0))*INDEX(Galerias!$O$2:$O$37,MATCH(Z$2,Galerias!$A$2:$A$37,0))^($A14-1),0))</f>
        <v/>
      </c>
      <c r="AA14" s="43">
        <f>IF(AND(INDEX(Galerias!$M$2:$M$37,MATCH(AA$2,Galerias!$A$2:$A$37,0))&lt;&gt;"",$A14&gt;INDEX(Galerias!$M$2:$M$37,MATCH(AA$2,Galerias!$A$2:$A$37,0))),"",ROUND(INDEX(Galerias!$N$2:$N$37,MATCH(AA$2,Galerias!$A$2:$A$37,0))*INDEX(Galerias!$O$2:$O$37,MATCH(AA$2,Galerias!$A$2:$A$37,0))^($A14-1),0))</f>
        <v/>
      </c>
      <c r="AB14" s="43">
        <f>IF(AND(INDEX(Galerias!$M$2:$M$37,MATCH(AB$2,Galerias!$A$2:$A$37,0))&lt;&gt;"",$A14&gt;INDEX(Galerias!$M$2:$M$37,MATCH(AB$2,Galerias!$A$2:$A$37,0))),"",ROUND(INDEX(Galerias!$N$2:$N$37,MATCH(AB$2,Galerias!$A$2:$A$37,0))*INDEX(Galerias!$O$2:$O$37,MATCH(AB$2,Galerias!$A$2:$A$37,0))^($A14-1),0))</f>
        <v/>
      </c>
      <c r="AC14" s="43">
        <f>IF(AND(INDEX(Galerias!$M$2:$M$37,MATCH(AC$2,Galerias!$A$2:$A$37,0))&lt;&gt;"",$A14&gt;INDEX(Galerias!$M$2:$M$37,MATCH(AC$2,Galerias!$A$2:$A$37,0))),"",ROUND(INDEX(Galerias!$N$2:$N$37,MATCH(AC$2,Galerias!$A$2:$A$37,0))*INDEX(Galerias!$O$2:$O$37,MATCH(AC$2,Galerias!$A$2:$A$37,0))^($A14-1),0))</f>
        <v/>
      </c>
      <c r="AD14" s="43">
        <f>IF(AND(INDEX(Galerias!$M$2:$M$37,MATCH(AD$2,Galerias!$A$2:$A$37,0))&lt;&gt;"",$A14&gt;INDEX(Galerias!$M$2:$M$37,MATCH(AD$2,Galerias!$A$2:$A$37,0))),"",ROUND(INDEX(Galerias!$N$2:$N$37,MATCH(AD$2,Galerias!$A$2:$A$37,0))*INDEX(Galerias!$O$2:$O$37,MATCH(AD$2,Galerias!$A$2:$A$37,0))^($A14-1),0))</f>
        <v/>
      </c>
      <c r="AE14" s="43">
        <f>IF(AND(INDEX(Galerias!$M$2:$M$37,MATCH(AE$2,Galerias!$A$2:$A$37,0))&lt;&gt;"",$A14&gt;INDEX(Galerias!$M$2:$M$37,MATCH(AE$2,Galerias!$A$2:$A$37,0))),"",ROUND(INDEX(Galerias!$N$2:$N$37,MATCH(AE$2,Galerias!$A$2:$A$37,0))*INDEX(Galerias!$O$2:$O$37,MATCH(AE$2,Galerias!$A$2:$A$37,0))^($A14-1),0))</f>
        <v/>
      </c>
      <c r="AF14" s="43">
        <f>IF(AND(INDEX(Galerias!$M$2:$M$37,MATCH(AF$2,Galerias!$A$2:$A$37,0))&lt;&gt;"",$A14&gt;INDEX(Galerias!$M$2:$M$37,MATCH(AF$2,Galerias!$A$2:$A$37,0))),"",ROUND(INDEX(Galerias!$N$2:$N$37,MATCH(AF$2,Galerias!$A$2:$A$37,0))*INDEX(Galerias!$O$2:$O$37,MATCH(AF$2,Galerias!$A$2:$A$37,0))^($A14-1),0))</f>
        <v/>
      </c>
      <c r="AG14" s="43">
        <f>IF(AND(INDEX(Galerias!$M$2:$M$37,MATCH(AG$2,Galerias!$A$2:$A$37,0))&lt;&gt;"",$A14&gt;INDEX(Galerias!$M$2:$M$37,MATCH(AG$2,Galerias!$A$2:$A$37,0))),"",ROUND(INDEX(Galerias!$N$2:$N$37,MATCH(AG$2,Galerias!$A$2:$A$37,0))*INDEX(Galerias!$O$2:$O$37,MATCH(AG$2,Galerias!$A$2:$A$37,0))^($A14-1),0))</f>
        <v/>
      </c>
      <c r="AH14" s="43">
        <f>IF(AND(INDEX(Galerias!$M$2:$M$37,MATCH(AH$2,Galerias!$A$2:$A$37,0))&lt;&gt;"",$A14&gt;INDEX(Galerias!$M$2:$M$37,MATCH(AH$2,Galerias!$A$2:$A$37,0))),"",ROUND(INDEX(Galerias!$N$2:$N$37,MATCH(AH$2,Galerias!$A$2:$A$37,0))*INDEX(Galerias!$O$2:$O$37,MATCH(AH$2,Galerias!$A$2:$A$37,0))^($A14-1),0))</f>
        <v/>
      </c>
      <c r="AI14" s="43">
        <f>IF(AND(INDEX(Galerias!$M$2:$M$37,MATCH(AI$2,Galerias!$A$2:$A$37,0))&lt;&gt;"",$A14&gt;INDEX(Galerias!$M$2:$M$37,MATCH(AI$2,Galerias!$A$2:$A$37,0))),"",ROUND(INDEX(Galerias!$N$2:$N$37,MATCH(AI$2,Galerias!$A$2:$A$37,0))*INDEX(Galerias!$O$2:$O$37,MATCH(AI$2,Galerias!$A$2:$A$37,0))^($A14-1),0))</f>
        <v/>
      </c>
      <c r="AJ14" s="43">
        <f>IF(AND(INDEX(Galerias!$M$2:$M$37,MATCH(AJ$2,Galerias!$A$2:$A$37,0))&lt;&gt;"",$A14&gt;INDEX(Galerias!$M$2:$M$37,MATCH(AJ$2,Galerias!$A$2:$A$37,0))),"",ROUND(INDEX(Galerias!$N$2:$N$37,MATCH(AJ$2,Galerias!$A$2:$A$37,0))*INDEX(Galerias!$O$2:$O$37,MATCH(AJ$2,Galerias!$A$2:$A$37,0))^($A14-1),0))</f>
        <v/>
      </c>
      <c r="AK14" s="43">
        <f>IF(AND(INDEX(Galerias!$M$2:$M$37,MATCH(AK$2,Galerias!$A$2:$A$37,0))&lt;&gt;"",$A14&gt;INDEX(Galerias!$M$2:$M$37,MATCH(AK$2,Galerias!$A$2:$A$37,0))),"",ROUND(INDEX(Galerias!$N$2:$N$37,MATCH(AK$2,Galerias!$A$2:$A$37,0))*INDEX(Galerias!$O$2:$O$37,MATCH(AK$2,Galerias!$A$2:$A$37,0))^($A14-1),0))</f>
        <v/>
      </c>
    </row>
    <row r="15" ht="15" customHeight="1" s="23">
      <c r="A15" s="25" t="n">
        <v>13</v>
      </c>
      <c r="B15" s="43">
        <f>IF(AND(INDEX(Galerias!$M$2:$M$37,MATCH(B$2,Galerias!$A$2:$A$37,0))&lt;&gt;"",$A15&gt;INDEX(Galerias!$M$2:$M$37,MATCH(B$2,Galerias!$A$2:$A$37,0))),"",ROUND(INDEX(Galerias!$N$2:$N$37,MATCH(B$2,Galerias!$A$2:$A$37,0))*INDEX(Galerias!$O$2:$O$37,MATCH(B$2,Galerias!$A$2:$A$37,0))^($A15-1),0))</f>
        <v/>
      </c>
      <c r="C15" s="43">
        <f>IF(AND(INDEX(Galerias!$M$2:$M$37,MATCH(C$2,Galerias!$A$2:$A$37,0))&lt;&gt;"",$A15&gt;INDEX(Galerias!$M$2:$M$37,MATCH(C$2,Galerias!$A$2:$A$37,0))),"",ROUND(INDEX(Galerias!$N$2:$N$37,MATCH(C$2,Galerias!$A$2:$A$37,0))*INDEX(Galerias!$O$2:$O$37,MATCH(C$2,Galerias!$A$2:$A$37,0))^($A15-1),0))</f>
        <v/>
      </c>
      <c r="D15" s="43">
        <f>IF(AND(INDEX(Galerias!$M$2:$M$37,MATCH(D$2,Galerias!$A$2:$A$37,0))&lt;&gt;"",$A15&gt;INDEX(Galerias!$M$2:$M$37,MATCH(D$2,Galerias!$A$2:$A$37,0))),"",ROUND(INDEX(Galerias!$N$2:$N$37,MATCH(D$2,Galerias!$A$2:$A$37,0))*INDEX(Galerias!$O$2:$O$37,MATCH(D$2,Galerias!$A$2:$A$37,0))^($A15-1),0))</f>
        <v/>
      </c>
      <c r="E15" s="43">
        <f>IF(AND(INDEX(Galerias!$M$2:$M$37,MATCH(E$2,Galerias!$A$2:$A$37,0))&lt;&gt;"",$A15&gt;INDEX(Galerias!$M$2:$M$37,MATCH(E$2,Galerias!$A$2:$A$37,0))),"",ROUND(INDEX(Galerias!$N$2:$N$37,MATCH(E$2,Galerias!$A$2:$A$37,0))*INDEX(Galerias!$O$2:$O$37,MATCH(E$2,Galerias!$A$2:$A$37,0))^($A15-1),0))</f>
        <v/>
      </c>
      <c r="F15" s="43">
        <f>IF(AND(INDEX(Galerias!$M$2:$M$37,MATCH(F$2,Galerias!$A$2:$A$37,0))&lt;&gt;"",$A15&gt;INDEX(Galerias!$M$2:$M$37,MATCH(F$2,Galerias!$A$2:$A$37,0))),"",ROUND(INDEX(Galerias!$N$2:$N$37,MATCH(F$2,Galerias!$A$2:$A$37,0))*INDEX(Galerias!$O$2:$O$37,MATCH(F$2,Galerias!$A$2:$A$37,0))^($A15-1),0))</f>
        <v/>
      </c>
      <c r="G15" s="43">
        <f>IF(AND(INDEX(Galerias!$M$2:$M$37,MATCH(G$2,Galerias!$A$2:$A$37,0))&lt;&gt;"",$A15&gt;INDEX(Galerias!$M$2:$M$37,MATCH(G$2,Galerias!$A$2:$A$37,0))),"",ROUND(INDEX(Galerias!$N$2:$N$37,MATCH(G$2,Galerias!$A$2:$A$37,0))*INDEX(Galerias!$O$2:$O$37,MATCH(G$2,Galerias!$A$2:$A$37,0))^($A15-1),0))</f>
        <v/>
      </c>
      <c r="H15" s="43">
        <f>IF(AND(INDEX(Galerias!$M$2:$M$37,MATCH(H$2,Galerias!$A$2:$A$37,0))&lt;&gt;"",$A15&gt;INDEX(Galerias!$M$2:$M$37,MATCH(H$2,Galerias!$A$2:$A$37,0))),"",ROUND(INDEX(Galerias!$N$2:$N$37,MATCH(H$2,Galerias!$A$2:$A$37,0))*INDEX(Galerias!$O$2:$O$37,MATCH(H$2,Galerias!$A$2:$A$37,0))^($A15-1),0))</f>
        <v/>
      </c>
      <c r="I15" s="43">
        <f>IF(AND(INDEX(Galerias!$M$2:$M$37,MATCH(I$2,Galerias!$A$2:$A$37,0))&lt;&gt;"",$A15&gt;INDEX(Galerias!$M$2:$M$37,MATCH(I$2,Galerias!$A$2:$A$37,0))),"",ROUND(INDEX(Galerias!$N$2:$N$37,MATCH(I$2,Galerias!$A$2:$A$37,0))*INDEX(Galerias!$O$2:$O$37,MATCH(I$2,Galerias!$A$2:$A$37,0))^($A15-1),0))</f>
        <v/>
      </c>
      <c r="J15" s="43">
        <f>IF(AND(INDEX(Galerias!$M$2:$M$37,MATCH(J$2,Galerias!$A$2:$A$37,0))&lt;&gt;"",$A15&gt;INDEX(Galerias!$M$2:$M$37,MATCH(J$2,Galerias!$A$2:$A$37,0))),"",ROUND(INDEX(Galerias!$N$2:$N$37,MATCH(J$2,Galerias!$A$2:$A$37,0))*INDEX(Galerias!$O$2:$O$37,MATCH(J$2,Galerias!$A$2:$A$37,0))^($A15-1),0))</f>
        <v/>
      </c>
      <c r="K15" s="43">
        <f>IF(AND(INDEX(Galerias!$M$2:$M$37,MATCH(K$2,Galerias!$A$2:$A$37,0))&lt;&gt;"",$A15&gt;INDEX(Galerias!$M$2:$M$37,MATCH(K$2,Galerias!$A$2:$A$37,0))),"",ROUND(INDEX(Galerias!$N$2:$N$37,MATCH(K$2,Galerias!$A$2:$A$37,0))*INDEX(Galerias!$O$2:$O$37,MATCH(K$2,Galerias!$A$2:$A$37,0))^($A15-1),0))</f>
        <v/>
      </c>
      <c r="L15" s="43">
        <f>IF(AND(INDEX(Galerias!$M$2:$M$37,MATCH(L$2,Galerias!$A$2:$A$37,0))&lt;&gt;"",$A15&gt;INDEX(Galerias!$M$2:$M$37,MATCH(L$2,Galerias!$A$2:$A$37,0))),"",ROUND(INDEX(Galerias!$N$2:$N$37,MATCH(L$2,Galerias!$A$2:$A$37,0))*INDEX(Galerias!$O$2:$O$37,MATCH(L$2,Galerias!$A$2:$A$37,0))^($A15-1),0))</f>
        <v/>
      </c>
      <c r="M15" s="43">
        <f>IF(AND(INDEX(Galerias!$M$2:$M$37,MATCH(M$2,Galerias!$A$2:$A$37,0))&lt;&gt;"",$A15&gt;INDEX(Galerias!$M$2:$M$37,MATCH(M$2,Galerias!$A$2:$A$37,0))),"",ROUND(INDEX(Galerias!$N$2:$N$37,MATCH(M$2,Galerias!$A$2:$A$37,0))*INDEX(Galerias!$O$2:$O$37,MATCH(M$2,Galerias!$A$2:$A$37,0))^($A15-1),0))</f>
        <v/>
      </c>
      <c r="N15" s="43">
        <f>IF(AND(INDEX(Galerias!$M$2:$M$37,MATCH(N$2,Galerias!$A$2:$A$37,0))&lt;&gt;"",$A15&gt;INDEX(Galerias!$M$2:$M$37,MATCH(N$2,Galerias!$A$2:$A$37,0))),"",ROUND(INDEX(Galerias!$N$2:$N$37,MATCH(N$2,Galerias!$A$2:$A$37,0))*INDEX(Galerias!$O$2:$O$37,MATCH(N$2,Galerias!$A$2:$A$37,0))^($A15-1),0))</f>
        <v/>
      </c>
      <c r="O15" s="43">
        <f>IF(AND(INDEX(Galerias!$M$2:$M$37,MATCH(O$2,Galerias!$A$2:$A$37,0))&lt;&gt;"",$A15&gt;INDEX(Galerias!$M$2:$M$37,MATCH(O$2,Galerias!$A$2:$A$37,0))),"",ROUND(INDEX(Galerias!$N$2:$N$37,MATCH(O$2,Galerias!$A$2:$A$37,0))*INDEX(Galerias!$O$2:$O$37,MATCH(O$2,Galerias!$A$2:$A$37,0))^($A15-1),0))</f>
        <v/>
      </c>
      <c r="P15" s="43">
        <f>IF(AND(INDEX(Galerias!$M$2:$M$37,MATCH(P$2,Galerias!$A$2:$A$37,0))&lt;&gt;"",$A15&gt;INDEX(Galerias!$M$2:$M$37,MATCH(P$2,Galerias!$A$2:$A$37,0))),"",ROUND(INDEX(Galerias!$N$2:$N$37,MATCH(P$2,Galerias!$A$2:$A$37,0))*INDEX(Galerias!$O$2:$O$37,MATCH(P$2,Galerias!$A$2:$A$37,0))^($A15-1),0))</f>
        <v/>
      </c>
      <c r="Q15" s="43">
        <f>IF(AND(INDEX(Galerias!$M$2:$M$37,MATCH(Q$2,Galerias!$A$2:$A$37,0))&lt;&gt;"",$A15&gt;INDEX(Galerias!$M$2:$M$37,MATCH(Q$2,Galerias!$A$2:$A$37,0))),"",ROUND(INDEX(Galerias!$N$2:$N$37,MATCH(Q$2,Galerias!$A$2:$A$37,0))*INDEX(Galerias!$O$2:$O$37,MATCH(Q$2,Galerias!$A$2:$A$37,0))^($A15-1),0))</f>
        <v/>
      </c>
      <c r="R15" s="43">
        <f>IF(AND(INDEX(Galerias!$M$2:$M$37,MATCH(R$2,Galerias!$A$2:$A$37,0))&lt;&gt;"",$A15&gt;INDEX(Galerias!$M$2:$M$37,MATCH(R$2,Galerias!$A$2:$A$37,0))),"",ROUND(INDEX(Galerias!$N$2:$N$37,MATCH(R$2,Galerias!$A$2:$A$37,0))*INDEX(Galerias!$O$2:$O$37,MATCH(R$2,Galerias!$A$2:$A$37,0))^($A15-1),0))</f>
        <v/>
      </c>
      <c r="S15" s="43">
        <f>IF(AND(INDEX(Galerias!$M$2:$M$37,MATCH(S$2,Galerias!$A$2:$A$37,0))&lt;&gt;"",$A15&gt;INDEX(Galerias!$M$2:$M$37,MATCH(S$2,Galerias!$A$2:$A$37,0))),"",ROUND(INDEX(Galerias!$N$2:$N$37,MATCH(S$2,Galerias!$A$2:$A$37,0))*INDEX(Galerias!$O$2:$O$37,MATCH(S$2,Galerias!$A$2:$A$37,0))^($A15-1),0))</f>
        <v/>
      </c>
      <c r="T15" s="43">
        <f>IF(AND(INDEX(Galerias!$M$2:$M$37,MATCH(T$2,Galerias!$A$2:$A$37,0))&lt;&gt;"",$A15&gt;INDEX(Galerias!$M$2:$M$37,MATCH(T$2,Galerias!$A$2:$A$37,0))),"",ROUND(INDEX(Galerias!$N$2:$N$37,MATCH(T$2,Galerias!$A$2:$A$37,0))*INDEX(Galerias!$O$2:$O$37,MATCH(T$2,Galerias!$A$2:$A$37,0))^($A15-1),0))</f>
        <v/>
      </c>
      <c r="U15" s="43">
        <f>IF(AND(INDEX(Galerias!$M$2:$M$37,MATCH(U$2,Galerias!$A$2:$A$37,0))&lt;&gt;"",$A15&gt;INDEX(Galerias!$M$2:$M$37,MATCH(U$2,Galerias!$A$2:$A$37,0))),"",ROUND(INDEX(Galerias!$N$2:$N$37,MATCH(U$2,Galerias!$A$2:$A$37,0))*INDEX(Galerias!$O$2:$O$37,MATCH(U$2,Galerias!$A$2:$A$37,0))^($A15-1),0))</f>
        <v/>
      </c>
      <c r="V15" s="43">
        <f>IF(AND(INDEX(Galerias!$M$2:$M$37,MATCH(V$2,Galerias!$A$2:$A$37,0))&lt;&gt;"",$A15&gt;INDEX(Galerias!$M$2:$M$37,MATCH(V$2,Galerias!$A$2:$A$37,0))),"",ROUND(INDEX(Galerias!$N$2:$N$37,MATCH(V$2,Galerias!$A$2:$A$37,0))*INDEX(Galerias!$O$2:$O$37,MATCH(V$2,Galerias!$A$2:$A$37,0))^($A15-1),0))</f>
        <v/>
      </c>
      <c r="W15" s="43">
        <f>IF(AND(INDEX(Galerias!$M$2:$M$37,MATCH(W$2,Galerias!$A$2:$A$37,0))&lt;&gt;"",$A15&gt;INDEX(Galerias!$M$2:$M$37,MATCH(W$2,Galerias!$A$2:$A$37,0))),"",ROUND(INDEX(Galerias!$N$2:$N$37,MATCH(W$2,Galerias!$A$2:$A$37,0))*INDEX(Galerias!$O$2:$O$37,MATCH(W$2,Galerias!$A$2:$A$37,0))^($A15-1),0))</f>
        <v/>
      </c>
      <c r="X15" s="43">
        <f>IF(AND(INDEX(Galerias!$M$2:$M$37,MATCH(X$2,Galerias!$A$2:$A$37,0))&lt;&gt;"",$A15&gt;INDEX(Galerias!$M$2:$M$37,MATCH(X$2,Galerias!$A$2:$A$37,0))),"",ROUND(INDEX(Galerias!$N$2:$N$37,MATCH(X$2,Galerias!$A$2:$A$37,0))*INDEX(Galerias!$O$2:$O$37,MATCH(X$2,Galerias!$A$2:$A$37,0))^($A15-1),0))</f>
        <v/>
      </c>
      <c r="Y15" s="43">
        <f>IF(AND(INDEX(Galerias!$M$2:$M$37,MATCH(Y$2,Galerias!$A$2:$A$37,0))&lt;&gt;"",$A15&gt;INDEX(Galerias!$M$2:$M$37,MATCH(Y$2,Galerias!$A$2:$A$37,0))),"",ROUND(INDEX(Galerias!$N$2:$N$37,MATCH(Y$2,Galerias!$A$2:$A$37,0))*INDEX(Galerias!$O$2:$O$37,MATCH(Y$2,Galerias!$A$2:$A$37,0))^($A15-1),0))</f>
        <v/>
      </c>
      <c r="Z15" s="43">
        <f>IF(AND(INDEX(Galerias!$M$2:$M$37,MATCH(Z$2,Galerias!$A$2:$A$37,0))&lt;&gt;"",$A15&gt;INDEX(Galerias!$M$2:$M$37,MATCH(Z$2,Galerias!$A$2:$A$37,0))),"",ROUND(INDEX(Galerias!$N$2:$N$37,MATCH(Z$2,Galerias!$A$2:$A$37,0))*INDEX(Galerias!$O$2:$O$37,MATCH(Z$2,Galerias!$A$2:$A$37,0))^($A15-1),0))</f>
        <v/>
      </c>
      <c r="AA15" s="43">
        <f>IF(AND(INDEX(Galerias!$M$2:$M$37,MATCH(AA$2,Galerias!$A$2:$A$37,0))&lt;&gt;"",$A15&gt;INDEX(Galerias!$M$2:$M$37,MATCH(AA$2,Galerias!$A$2:$A$37,0))),"",ROUND(INDEX(Galerias!$N$2:$N$37,MATCH(AA$2,Galerias!$A$2:$A$37,0))*INDEX(Galerias!$O$2:$O$37,MATCH(AA$2,Galerias!$A$2:$A$37,0))^($A15-1),0))</f>
        <v/>
      </c>
      <c r="AB15" s="43">
        <f>IF(AND(INDEX(Galerias!$M$2:$M$37,MATCH(AB$2,Galerias!$A$2:$A$37,0))&lt;&gt;"",$A15&gt;INDEX(Galerias!$M$2:$M$37,MATCH(AB$2,Galerias!$A$2:$A$37,0))),"",ROUND(INDEX(Galerias!$N$2:$N$37,MATCH(AB$2,Galerias!$A$2:$A$37,0))*INDEX(Galerias!$O$2:$O$37,MATCH(AB$2,Galerias!$A$2:$A$37,0))^($A15-1),0))</f>
        <v/>
      </c>
      <c r="AC15" s="43">
        <f>IF(AND(INDEX(Galerias!$M$2:$M$37,MATCH(AC$2,Galerias!$A$2:$A$37,0))&lt;&gt;"",$A15&gt;INDEX(Galerias!$M$2:$M$37,MATCH(AC$2,Galerias!$A$2:$A$37,0))),"",ROUND(INDEX(Galerias!$N$2:$N$37,MATCH(AC$2,Galerias!$A$2:$A$37,0))*INDEX(Galerias!$O$2:$O$37,MATCH(AC$2,Galerias!$A$2:$A$37,0))^($A15-1),0))</f>
        <v/>
      </c>
      <c r="AD15" s="43">
        <f>IF(AND(INDEX(Galerias!$M$2:$M$37,MATCH(AD$2,Galerias!$A$2:$A$37,0))&lt;&gt;"",$A15&gt;INDEX(Galerias!$M$2:$M$37,MATCH(AD$2,Galerias!$A$2:$A$37,0))),"",ROUND(INDEX(Galerias!$N$2:$N$37,MATCH(AD$2,Galerias!$A$2:$A$37,0))*INDEX(Galerias!$O$2:$O$37,MATCH(AD$2,Galerias!$A$2:$A$37,0))^($A15-1),0))</f>
        <v/>
      </c>
      <c r="AE15" s="43">
        <f>IF(AND(INDEX(Galerias!$M$2:$M$37,MATCH(AE$2,Galerias!$A$2:$A$37,0))&lt;&gt;"",$A15&gt;INDEX(Galerias!$M$2:$M$37,MATCH(AE$2,Galerias!$A$2:$A$37,0))),"",ROUND(INDEX(Galerias!$N$2:$N$37,MATCH(AE$2,Galerias!$A$2:$A$37,0))*INDEX(Galerias!$O$2:$O$37,MATCH(AE$2,Galerias!$A$2:$A$37,0))^($A15-1),0))</f>
        <v/>
      </c>
      <c r="AF15" s="43">
        <f>IF(AND(INDEX(Galerias!$M$2:$M$37,MATCH(AF$2,Galerias!$A$2:$A$37,0))&lt;&gt;"",$A15&gt;INDEX(Galerias!$M$2:$M$37,MATCH(AF$2,Galerias!$A$2:$A$37,0))),"",ROUND(INDEX(Galerias!$N$2:$N$37,MATCH(AF$2,Galerias!$A$2:$A$37,0))*INDEX(Galerias!$O$2:$O$37,MATCH(AF$2,Galerias!$A$2:$A$37,0))^($A15-1),0))</f>
        <v/>
      </c>
      <c r="AG15" s="43">
        <f>IF(AND(INDEX(Galerias!$M$2:$M$37,MATCH(AG$2,Galerias!$A$2:$A$37,0))&lt;&gt;"",$A15&gt;INDEX(Galerias!$M$2:$M$37,MATCH(AG$2,Galerias!$A$2:$A$37,0))),"",ROUND(INDEX(Galerias!$N$2:$N$37,MATCH(AG$2,Galerias!$A$2:$A$37,0))*INDEX(Galerias!$O$2:$O$37,MATCH(AG$2,Galerias!$A$2:$A$37,0))^($A15-1),0))</f>
        <v/>
      </c>
      <c r="AH15" s="43">
        <f>IF(AND(INDEX(Galerias!$M$2:$M$37,MATCH(AH$2,Galerias!$A$2:$A$37,0))&lt;&gt;"",$A15&gt;INDEX(Galerias!$M$2:$M$37,MATCH(AH$2,Galerias!$A$2:$A$37,0))),"",ROUND(INDEX(Galerias!$N$2:$N$37,MATCH(AH$2,Galerias!$A$2:$A$37,0))*INDEX(Galerias!$O$2:$O$37,MATCH(AH$2,Galerias!$A$2:$A$37,0))^($A15-1),0))</f>
        <v/>
      </c>
      <c r="AI15" s="43">
        <f>IF(AND(INDEX(Galerias!$M$2:$M$37,MATCH(AI$2,Galerias!$A$2:$A$37,0))&lt;&gt;"",$A15&gt;INDEX(Galerias!$M$2:$M$37,MATCH(AI$2,Galerias!$A$2:$A$37,0))),"",ROUND(INDEX(Galerias!$N$2:$N$37,MATCH(AI$2,Galerias!$A$2:$A$37,0))*INDEX(Galerias!$O$2:$O$37,MATCH(AI$2,Galerias!$A$2:$A$37,0))^($A15-1),0))</f>
        <v/>
      </c>
      <c r="AJ15" s="43">
        <f>IF(AND(INDEX(Galerias!$M$2:$M$37,MATCH(AJ$2,Galerias!$A$2:$A$37,0))&lt;&gt;"",$A15&gt;INDEX(Galerias!$M$2:$M$37,MATCH(AJ$2,Galerias!$A$2:$A$37,0))),"",ROUND(INDEX(Galerias!$N$2:$N$37,MATCH(AJ$2,Galerias!$A$2:$A$37,0))*INDEX(Galerias!$O$2:$O$37,MATCH(AJ$2,Galerias!$A$2:$A$37,0))^($A15-1),0))</f>
        <v/>
      </c>
      <c r="AK15" s="43">
        <f>IF(AND(INDEX(Galerias!$M$2:$M$37,MATCH(AK$2,Galerias!$A$2:$A$37,0))&lt;&gt;"",$A15&gt;INDEX(Galerias!$M$2:$M$37,MATCH(AK$2,Galerias!$A$2:$A$37,0))),"",ROUND(INDEX(Galerias!$N$2:$N$37,MATCH(AK$2,Galerias!$A$2:$A$37,0))*INDEX(Galerias!$O$2:$O$37,MATCH(AK$2,Galerias!$A$2:$A$37,0))^($A15-1),0))</f>
        <v/>
      </c>
    </row>
    <row r="16" ht="15" customHeight="1" s="23">
      <c r="A16" s="25" t="n">
        <v>14</v>
      </c>
      <c r="B16" s="43">
        <f>IF(AND(INDEX(Galerias!$M$2:$M$37,MATCH(B$2,Galerias!$A$2:$A$37,0))&lt;&gt;"",$A16&gt;INDEX(Galerias!$M$2:$M$37,MATCH(B$2,Galerias!$A$2:$A$37,0))),"",ROUND(INDEX(Galerias!$N$2:$N$37,MATCH(B$2,Galerias!$A$2:$A$37,0))*INDEX(Galerias!$O$2:$O$37,MATCH(B$2,Galerias!$A$2:$A$37,0))^($A16-1),0))</f>
        <v/>
      </c>
      <c r="C16" s="43">
        <f>IF(AND(INDEX(Galerias!$M$2:$M$37,MATCH(C$2,Galerias!$A$2:$A$37,0))&lt;&gt;"",$A16&gt;INDEX(Galerias!$M$2:$M$37,MATCH(C$2,Galerias!$A$2:$A$37,0))),"",ROUND(INDEX(Galerias!$N$2:$N$37,MATCH(C$2,Galerias!$A$2:$A$37,0))*INDEX(Galerias!$O$2:$O$37,MATCH(C$2,Galerias!$A$2:$A$37,0))^($A16-1),0))</f>
        <v/>
      </c>
      <c r="D16" s="43">
        <f>IF(AND(INDEX(Galerias!$M$2:$M$37,MATCH(D$2,Galerias!$A$2:$A$37,0))&lt;&gt;"",$A16&gt;INDEX(Galerias!$M$2:$M$37,MATCH(D$2,Galerias!$A$2:$A$37,0))),"",ROUND(INDEX(Galerias!$N$2:$N$37,MATCH(D$2,Galerias!$A$2:$A$37,0))*INDEX(Galerias!$O$2:$O$37,MATCH(D$2,Galerias!$A$2:$A$37,0))^($A16-1),0))</f>
        <v/>
      </c>
      <c r="E16" s="43">
        <f>IF(AND(INDEX(Galerias!$M$2:$M$37,MATCH(E$2,Galerias!$A$2:$A$37,0))&lt;&gt;"",$A16&gt;INDEX(Galerias!$M$2:$M$37,MATCH(E$2,Galerias!$A$2:$A$37,0))),"",ROUND(INDEX(Galerias!$N$2:$N$37,MATCH(E$2,Galerias!$A$2:$A$37,0))*INDEX(Galerias!$O$2:$O$37,MATCH(E$2,Galerias!$A$2:$A$37,0))^($A16-1),0))</f>
        <v/>
      </c>
      <c r="F16" s="43">
        <f>IF(AND(INDEX(Galerias!$M$2:$M$37,MATCH(F$2,Galerias!$A$2:$A$37,0))&lt;&gt;"",$A16&gt;INDEX(Galerias!$M$2:$M$37,MATCH(F$2,Galerias!$A$2:$A$37,0))),"",ROUND(INDEX(Galerias!$N$2:$N$37,MATCH(F$2,Galerias!$A$2:$A$37,0))*INDEX(Galerias!$O$2:$O$37,MATCH(F$2,Galerias!$A$2:$A$37,0))^($A16-1),0))</f>
        <v/>
      </c>
      <c r="G16" s="43">
        <f>IF(AND(INDEX(Galerias!$M$2:$M$37,MATCH(G$2,Galerias!$A$2:$A$37,0))&lt;&gt;"",$A16&gt;INDEX(Galerias!$M$2:$M$37,MATCH(G$2,Galerias!$A$2:$A$37,0))),"",ROUND(INDEX(Galerias!$N$2:$N$37,MATCH(G$2,Galerias!$A$2:$A$37,0))*INDEX(Galerias!$O$2:$O$37,MATCH(G$2,Galerias!$A$2:$A$37,0))^($A16-1),0))</f>
        <v/>
      </c>
      <c r="H16" s="43">
        <f>IF(AND(INDEX(Galerias!$M$2:$M$37,MATCH(H$2,Galerias!$A$2:$A$37,0))&lt;&gt;"",$A16&gt;INDEX(Galerias!$M$2:$M$37,MATCH(H$2,Galerias!$A$2:$A$37,0))),"",ROUND(INDEX(Galerias!$N$2:$N$37,MATCH(H$2,Galerias!$A$2:$A$37,0))*INDEX(Galerias!$O$2:$O$37,MATCH(H$2,Galerias!$A$2:$A$37,0))^($A16-1),0))</f>
        <v/>
      </c>
      <c r="I16" s="43">
        <f>IF(AND(INDEX(Galerias!$M$2:$M$37,MATCH(I$2,Galerias!$A$2:$A$37,0))&lt;&gt;"",$A16&gt;INDEX(Galerias!$M$2:$M$37,MATCH(I$2,Galerias!$A$2:$A$37,0))),"",ROUND(INDEX(Galerias!$N$2:$N$37,MATCH(I$2,Galerias!$A$2:$A$37,0))*INDEX(Galerias!$O$2:$O$37,MATCH(I$2,Galerias!$A$2:$A$37,0))^($A16-1),0))</f>
        <v/>
      </c>
      <c r="J16" s="43">
        <f>IF(AND(INDEX(Galerias!$M$2:$M$37,MATCH(J$2,Galerias!$A$2:$A$37,0))&lt;&gt;"",$A16&gt;INDEX(Galerias!$M$2:$M$37,MATCH(J$2,Galerias!$A$2:$A$37,0))),"",ROUND(INDEX(Galerias!$N$2:$N$37,MATCH(J$2,Galerias!$A$2:$A$37,0))*INDEX(Galerias!$O$2:$O$37,MATCH(J$2,Galerias!$A$2:$A$37,0))^($A16-1),0))</f>
        <v/>
      </c>
      <c r="K16" s="43">
        <f>IF(AND(INDEX(Galerias!$M$2:$M$37,MATCH(K$2,Galerias!$A$2:$A$37,0))&lt;&gt;"",$A16&gt;INDEX(Galerias!$M$2:$M$37,MATCH(K$2,Galerias!$A$2:$A$37,0))),"",ROUND(INDEX(Galerias!$N$2:$N$37,MATCH(K$2,Galerias!$A$2:$A$37,0))*INDEX(Galerias!$O$2:$O$37,MATCH(K$2,Galerias!$A$2:$A$37,0))^($A16-1),0))</f>
        <v/>
      </c>
      <c r="L16" s="43">
        <f>IF(AND(INDEX(Galerias!$M$2:$M$37,MATCH(L$2,Galerias!$A$2:$A$37,0))&lt;&gt;"",$A16&gt;INDEX(Galerias!$M$2:$M$37,MATCH(L$2,Galerias!$A$2:$A$37,0))),"",ROUND(INDEX(Galerias!$N$2:$N$37,MATCH(L$2,Galerias!$A$2:$A$37,0))*INDEX(Galerias!$O$2:$O$37,MATCH(L$2,Galerias!$A$2:$A$37,0))^($A16-1),0))</f>
        <v/>
      </c>
      <c r="M16" s="43">
        <f>IF(AND(INDEX(Galerias!$M$2:$M$37,MATCH(M$2,Galerias!$A$2:$A$37,0))&lt;&gt;"",$A16&gt;INDEX(Galerias!$M$2:$M$37,MATCH(M$2,Galerias!$A$2:$A$37,0))),"",ROUND(INDEX(Galerias!$N$2:$N$37,MATCH(M$2,Galerias!$A$2:$A$37,0))*INDEX(Galerias!$O$2:$O$37,MATCH(M$2,Galerias!$A$2:$A$37,0))^($A16-1),0))</f>
        <v/>
      </c>
      <c r="N16" s="43">
        <f>IF(AND(INDEX(Galerias!$M$2:$M$37,MATCH(N$2,Galerias!$A$2:$A$37,0))&lt;&gt;"",$A16&gt;INDEX(Galerias!$M$2:$M$37,MATCH(N$2,Galerias!$A$2:$A$37,0))),"",ROUND(INDEX(Galerias!$N$2:$N$37,MATCH(N$2,Galerias!$A$2:$A$37,0))*INDEX(Galerias!$O$2:$O$37,MATCH(N$2,Galerias!$A$2:$A$37,0))^($A16-1),0))</f>
        <v/>
      </c>
      <c r="O16" s="43">
        <f>IF(AND(INDEX(Galerias!$M$2:$M$37,MATCH(O$2,Galerias!$A$2:$A$37,0))&lt;&gt;"",$A16&gt;INDEX(Galerias!$M$2:$M$37,MATCH(O$2,Galerias!$A$2:$A$37,0))),"",ROUND(INDEX(Galerias!$N$2:$N$37,MATCH(O$2,Galerias!$A$2:$A$37,0))*INDEX(Galerias!$O$2:$O$37,MATCH(O$2,Galerias!$A$2:$A$37,0))^($A16-1),0))</f>
        <v/>
      </c>
      <c r="P16" s="43">
        <f>IF(AND(INDEX(Galerias!$M$2:$M$37,MATCH(P$2,Galerias!$A$2:$A$37,0))&lt;&gt;"",$A16&gt;INDEX(Galerias!$M$2:$M$37,MATCH(P$2,Galerias!$A$2:$A$37,0))),"",ROUND(INDEX(Galerias!$N$2:$N$37,MATCH(P$2,Galerias!$A$2:$A$37,0))*INDEX(Galerias!$O$2:$O$37,MATCH(P$2,Galerias!$A$2:$A$37,0))^($A16-1),0))</f>
        <v/>
      </c>
      <c r="Q16" s="43">
        <f>IF(AND(INDEX(Galerias!$M$2:$M$37,MATCH(Q$2,Galerias!$A$2:$A$37,0))&lt;&gt;"",$A16&gt;INDEX(Galerias!$M$2:$M$37,MATCH(Q$2,Galerias!$A$2:$A$37,0))),"",ROUND(INDEX(Galerias!$N$2:$N$37,MATCH(Q$2,Galerias!$A$2:$A$37,0))*INDEX(Galerias!$O$2:$O$37,MATCH(Q$2,Galerias!$A$2:$A$37,0))^($A16-1),0))</f>
        <v/>
      </c>
      <c r="R16" s="43">
        <f>IF(AND(INDEX(Galerias!$M$2:$M$37,MATCH(R$2,Galerias!$A$2:$A$37,0))&lt;&gt;"",$A16&gt;INDEX(Galerias!$M$2:$M$37,MATCH(R$2,Galerias!$A$2:$A$37,0))),"",ROUND(INDEX(Galerias!$N$2:$N$37,MATCH(R$2,Galerias!$A$2:$A$37,0))*INDEX(Galerias!$O$2:$O$37,MATCH(R$2,Galerias!$A$2:$A$37,0))^($A16-1),0))</f>
        <v/>
      </c>
      <c r="S16" s="43">
        <f>IF(AND(INDEX(Galerias!$M$2:$M$37,MATCH(S$2,Galerias!$A$2:$A$37,0))&lt;&gt;"",$A16&gt;INDEX(Galerias!$M$2:$M$37,MATCH(S$2,Galerias!$A$2:$A$37,0))),"",ROUND(INDEX(Galerias!$N$2:$N$37,MATCH(S$2,Galerias!$A$2:$A$37,0))*INDEX(Galerias!$O$2:$O$37,MATCH(S$2,Galerias!$A$2:$A$37,0))^($A16-1),0))</f>
        <v/>
      </c>
      <c r="T16" s="43">
        <f>IF(AND(INDEX(Galerias!$M$2:$M$37,MATCH(T$2,Galerias!$A$2:$A$37,0))&lt;&gt;"",$A16&gt;INDEX(Galerias!$M$2:$M$37,MATCH(T$2,Galerias!$A$2:$A$37,0))),"",ROUND(INDEX(Galerias!$N$2:$N$37,MATCH(T$2,Galerias!$A$2:$A$37,0))*INDEX(Galerias!$O$2:$O$37,MATCH(T$2,Galerias!$A$2:$A$37,0))^($A16-1),0))</f>
        <v/>
      </c>
      <c r="U16" s="43">
        <f>IF(AND(INDEX(Galerias!$M$2:$M$37,MATCH(U$2,Galerias!$A$2:$A$37,0))&lt;&gt;"",$A16&gt;INDEX(Galerias!$M$2:$M$37,MATCH(U$2,Galerias!$A$2:$A$37,0))),"",ROUND(INDEX(Galerias!$N$2:$N$37,MATCH(U$2,Galerias!$A$2:$A$37,0))*INDEX(Galerias!$O$2:$O$37,MATCH(U$2,Galerias!$A$2:$A$37,0))^($A16-1),0))</f>
        <v/>
      </c>
      <c r="V16" s="43">
        <f>IF(AND(INDEX(Galerias!$M$2:$M$37,MATCH(V$2,Galerias!$A$2:$A$37,0))&lt;&gt;"",$A16&gt;INDEX(Galerias!$M$2:$M$37,MATCH(V$2,Galerias!$A$2:$A$37,0))),"",ROUND(INDEX(Galerias!$N$2:$N$37,MATCH(V$2,Galerias!$A$2:$A$37,0))*INDEX(Galerias!$O$2:$O$37,MATCH(V$2,Galerias!$A$2:$A$37,0))^($A16-1),0))</f>
        <v/>
      </c>
      <c r="W16" s="43">
        <f>IF(AND(INDEX(Galerias!$M$2:$M$37,MATCH(W$2,Galerias!$A$2:$A$37,0))&lt;&gt;"",$A16&gt;INDEX(Galerias!$M$2:$M$37,MATCH(W$2,Galerias!$A$2:$A$37,0))),"",ROUND(INDEX(Galerias!$N$2:$N$37,MATCH(W$2,Galerias!$A$2:$A$37,0))*INDEX(Galerias!$O$2:$O$37,MATCH(W$2,Galerias!$A$2:$A$37,0))^($A16-1),0))</f>
        <v/>
      </c>
      <c r="X16" s="43">
        <f>IF(AND(INDEX(Galerias!$M$2:$M$37,MATCH(X$2,Galerias!$A$2:$A$37,0))&lt;&gt;"",$A16&gt;INDEX(Galerias!$M$2:$M$37,MATCH(X$2,Galerias!$A$2:$A$37,0))),"",ROUND(INDEX(Galerias!$N$2:$N$37,MATCH(X$2,Galerias!$A$2:$A$37,0))*INDEX(Galerias!$O$2:$O$37,MATCH(X$2,Galerias!$A$2:$A$37,0))^($A16-1),0))</f>
        <v/>
      </c>
      <c r="Y16" s="43">
        <f>IF(AND(INDEX(Galerias!$M$2:$M$37,MATCH(Y$2,Galerias!$A$2:$A$37,0))&lt;&gt;"",$A16&gt;INDEX(Galerias!$M$2:$M$37,MATCH(Y$2,Galerias!$A$2:$A$37,0))),"",ROUND(INDEX(Galerias!$N$2:$N$37,MATCH(Y$2,Galerias!$A$2:$A$37,0))*INDEX(Galerias!$O$2:$O$37,MATCH(Y$2,Galerias!$A$2:$A$37,0))^($A16-1),0))</f>
        <v/>
      </c>
      <c r="Z16" s="43">
        <f>IF(AND(INDEX(Galerias!$M$2:$M$37,MATCH(Z$2,Galerias!$A$2:$A$37,0))&lt;&gt;"",$A16&gt;INDEX(Galerias!$M$2:$M$37,MATCH(Z$2,Galerias!$A$2:$A$37,0))),"",ROUND(INDEX(Galerias!$N$2:$N$37,MATCH(Z$2,Galerias!$A$2:$A$37,0))*INDEX(Galerias!$O$2:$O$37,MATCH(Z$2,Galerias!$A$2:$A$37,0))^($A16-1),0))</f>
        <v/>
      </c>
      <c r="AA16" s="43">
        <f>IF(AND(INDEX(Galerias!$M$2:$M$37,MATCH(AA$2,Galerias!$A$2:$A$37,0))&lt;&gt;"",$A16&gt;INDEX(Galerias!$M$2:$M$37,MATCH(AA$2,Galerias!$A$2:$A$37,0))),"",ROUND(INDEX(Galerias!$N$2:$N$37,MATCH(AA$2,Galerias!$A$2:$A$37,0))*INDEX(Galerias!$O$2:$O$37,MATCH(AA$2,Galerias!$A$2:$A$37,0))^($A16-1),0))</f>
        <v/>
      </c>
      <c r="AB16" s="43">
        <f>IF(AND(INDEX(Galerias!$M$2:$M$37,MATCH(AB$2,Galerias!$A$2:$A$37,0))&lt;&gt;"",$A16&gt;INDEX(Galerias!$M$2:$M$37,MATCH(AB$2,Galerias!$A$2:$A$37,0))),"",ROUND(INDEX(Galerias!$N$2:$N$37,MATCH(AB$2,Galerias!$A$2:$A$37,0))*INDEX(Galerias!$O$2:$O$37,MATCH(AB$2,Galerias!$A$2:$A$37,0))^($A16-1),0))</f>
        <v/>
      </c>
      <c r="AC16" s="43">
        <f>IF(AND(INDEX(Galerias!$M$2:$M$37,MATCH(AC$2,Galerias!$A$2:$A$37,0))&lt;&gt;"",$A16&gt;INDEX(Galerias!$M$2:$M$37,MATCH(AC$2,Galerias!$A$2:$A$37,0))),"",ROUND(INDEX(Galerias!$N$2:$N$37,MATCH(AC$2,Galerias!$A$2:$A$37,0))*INDEX(Galerias!$O$2:$O$37,MATCH(AC$2,Galerias!$A$2:$A$37,0))^($A16-1),0))</f>
        <v/>
      </c>
      <c r="AD16" s="43">
        <f>IF(AND(INDEX(Galerias!$M$2:$M$37,MATCH(AD$2,Galerias!$A$2:$A$37,0))&lt;&gt;"",$A16&gt;INDEX(Galerias!$M$2:$M$37,MATCH(AD$2,Galerias!$A$2:$A$37,0))),"",ROUND(INDEX(Galerias!$N$2:$N$37,MATCH(AD$2,Galerias!$A$2:$A$37,0))*INDEX(Galerias!$O$2:$O$37,MATCH(AD$2,Galerias!$A$2:$A$37,0))^($A16-1),0))</f>
        <v/>
      </c>
      <c r="AE16" s="43">
        <f>IF(AND(INDEX(Galerias!$M$2:$M$37,MATCH(AE$2,Galerias!$A$2:$A$37,0))&lt;&gt;"",$A16&gt;INDEX(Galerias!$M$2:$M$37,MATCH(AE$2,Galerias!$A$2:$A$37,0))),"",ROUND(INDEX(Galerias!$N$2:$N$37,MATCH(AE$2,Galerias!$A$2:$A$37,0))*INDEX(Galerias!$O$2:$O$37,MATCH(AE$2,Galerias!$A$2:$A$37,0))^($A16-1),0))</f>
        <v/>
      </c>
      <c r="AF16" s="43">
        <f>IF(AND(INDEX(Galerias!$M$2:$M$37,MATCH(AF$2,Galerias!$A$2:$A$37,0))&lt;&gt;"",$A16&gt;INDEX(Galerias!$M$2:$M$37,MATCH(AF$2,Galerias!$A$2:$A$37,0))),"",ROUND(INDEX(Galerias!$N$2:$N$37,MATCH(AF$2,Galerias!$A$2:$A$37,0))*INDEX(Galerias!$O$2:$O$37,MATCH(AF$2,Galerias!$A$2:$A$37,0))^($A16-1),0))</f>
        <v/>
      </c>
      <c r="AG16" s="43">
        <f>IF(AND(INDEX(Galerias!$M$2:$M$37,MATCH(AG$2,Galerias!$A$2:$A$37,0))&lt;&gt;"",$A16&gt;INDEX(Galerias!$M$2:$M$37,MATCH(AG$2,Galerias!$A$2:$A$37,0))),"",ROUND(INDEX(Galerias!$N$2:$N$37,MATCH(AG$2,Galerias!$A$2:$A$37,0))*INDEX(Galerias!$O$2:$O$37,MATCH(AG$2,Galerias!$A$2:$A$37,0))^($A16-1),0))</f>
        <v/>
      </c>
      <c r="AH16" s="43">
        <f>IF(AND(INDEX(Galerias!$M$2:$M$37,MATCH(AH$2,Galerias!$A$2:$A$37,0))&lt;&gt;"",$A16&gt;INDEX(Galerias!$M$2:$M$37,MATCH(AH$2,Galerias!$A$2:$A$37,0))),"",ROUND(INDEX(Galerias!$N$2:$N$37,MATCH(AH$2,Galerias!$A$2:$A$37,0))*INDEX(Galerias!$O$2:$O$37,MATCH(AH$2,Galerias!$A$2:$A$37,0))^($A16-1),0))</f>
        <v/>
      </c>
      <c r="AI16" s="43">
        <f>IF(AND(INDEX(Galerias!$M$2:$M$37,MATCH(AI$2,Galerias!$A$2:$A$37,0))&lt;&gt;"",$A16&gt;INDEX(Galerias!$M$2:$M$37,MATCH(AI$2,Galerias!$A$2:$A$37,0))),"",ROUND(INDEX(Galerias!$N$2:$N$37,MATCH(AI$2,Galerias!$A$2:$A$37,0))*INDEX(Galerias!$O$2:$O$37,MATCH(AI$2,Galerias!$A$2:$A$37,0))^($A16-1),0))</f>
        <v/>
      </c>
      <c r="AJ16" s="43">
        <f>IF(AND(INDEX(Galerias!$M$2:$M$37,MATCH(AJ$2,Galerias!$A$2:$A$37,0))&lt;&gt;"",$A16&gt;INDEX(Galerias!$M$2:$M$37,MATCH(AJ$2,Galerias!$A$2:$A$37,0))),"",ROUND(INDEX(Galerias!$N$2:$N$37,MATCH(AJ$2,Galerias!$A$2:$A$37,0))*INDEX(Galerias!$O$2:$O$37,MATCH(AJ$2,Galerias!$A$2:$A$37,0))^($A16-1),0))</f>
        <v/>
      </c>
      <c r="AK16" s="43">
        <f>IF(AND(INDEX(Galerias!$M$2:$M$37,MATCH(AK$2,Galerias!$A$2:$A$37,0))&lt;&gt;"",$A16&gt;INDEX(Galerias!$M$2:$M$37,MATCH(AK$2,Galerias!$A$2:$A$37,0))),"",ROUND(INDEX(Galerias!$N$2:$N$37,MATCH(AK$2,Galerias!$A$2:$A$37,0))*INDEX(Galerias!$O$2:$O$37,MATCH(AK$2,Galerias!$A$2:$A$37,0))^($A16-1),0))</f>
        <v/>
      </c>
    </row>
    <row r="17" ht="15" customHeight="1" s="23">
      <c r="A17" s="25" t="n">
        <v>15</v>
      </c>
      <c r="B17" s="43">
        <f>IF(AND(INDEX(Galerias!$M$2:$M$37,MATCH(B$2,Galerias!$A$2:$A$37,0))&lt;&gt;"",$A17&gt;INDEX(Galerias!$M$2:$M$37,MATCH(B$2,Galerias!$A$2:$A$37,0))),"",ROUND(INDEX(Galerias!$N$2:$N$37,MATCH(B$2,Galerias!$A$2:$A$37,0))*INDEX(Galerias!$O$2:$O$37,MATCH(B$2,Galerias!$A$2:$A$37,0))^($A17-1),0))</f>
        <v/>
      </c>
      <c r="C17" s="43">
        <f>IF(AND(INDEX(Galerias!$M$2:$M$37,MATCH(C$2,Galerias!$A$2:$A$37,0))&lt;&gt;"",$A17&gt;INDEX(Galerias!$M$2:$M$37,MATCH(C$2,Galerias!$A$2:$A$37,0))),"",ROUND(INDEX(Galerias!$N$2:$N$37,MATCH(C$2,Galerias!$A$2:$A$37,0))*INDEX(Galerias!$O$2:$O$37,MATCH(C$2,Galerias!$A$2:$A$37,0))^($A17-1),0))</f>
        <v/>
      </c>
      <c r="D17" s="43">
        <f>IF(AND(INDEX(Galerias!$M$2:$M$37,MATCH(D$2,Galerias!$A$2:$A$37,0))&lt;&gt;"",$A17&gt;INDEX(Galerias!$M$2:$M$37,MATCH(D$2,Galerias!$A$2:$A$37,0))),"",ROUND(INDEX(Galerias!$N$2:$N$37,MATCH(D$2,Galerias!$A$2:$A$37,0))*INDEX(Galerias!$O$2:$O$37,MATCH(D$2,Galerias!$A$2:$A$37,0))^($A17-1),0))</f>
        <v/>
      </c>
      <c r="E17" s="43">
        <f>IF(AND(INDEX(Galerias!$M$2:$M$37,MATCH(E$2,Galerias!$A$2:$A$37,0))&lt;&gt;"",$A17&gt;INDEX(Galerias!$M$2:$M$37,MATCH(E$2,Galerias!$A$2:$A$37,0))),"",ROUND(INDEX(Galerias!$N$2:$N$37,MATCH(E$2,Galerias!$A$2:$A$37,0))*INDEX(Galerias!$O$2:$O$37,MATCH(E$2,Galerias!$A$2:$A$37,0))^($A17-1),0))</f>
        <v/>
      </c>
      <c r="F17" s="43">
        <f>IF(AND(INDEX(Galerias!$M$2:$M$37,MATCH(F$2,Galerias!$A$2:$A$37,0))&lt;&gt;"",$A17&gt;INDEX(Galerias!$M$2:$M$37,MATCH(F$2,Galerias!$A$2:$A$37,0))),"",ROUND(INDEX(Galerias!$N$2:$N$37,MATCH(F$2,Galerias!$A$2:$A$37,0))*INDEX(Galerias!$O$2:$O$37,MATCH(F$2,Galerias!$A$2:$A$37,0))^($A17-1),0))</f>
        <v/>
      </c>
      <c r="G17" s="43">
        <f>IF(AND(INDEX(Galerias!$M$2:$M$37,MATCH(G$2,Galerias!$A$2:$A$37,0))&lt;&gt;"",$A17&gt;INDEX(Galerias!$M$2:$M$37,MATCH(G$2,Galerias!$A$2:$A$37,0))),"",ROUND(INDEX(Galerias!$N$2:$N$37,MATCH(G$2,Galerias!$A$2:$A$37,0))*INDEX(Galerias!$O$2:$O$37,MATCH(G$2,Galerias!$A$2:$A$37,0))^($A17-1),0))</f>
        <v/>
      </c>
      <c r="H17" s="43">
        <f>IF(AND(INDEX(Galerias!$M$2:$M$37,MATCH(H$2,Galerias!$A$2:$A$37,0))&lt;&gt;"",$A17&gt;INDEX(Galerias!$M$2:$M$37,MATCH(H$2,Galerias!$A$2:$A$37,0))),"",ROUND(INDEX(Galerias!$N$2:$N$37,MATCH(H$2,Galerias!$A$2:$A$37,0))*INDEX(Galerias!$O$2:$O$37,MATCH(H$2,Galerias!$A$2:$A$37,0))^($A17-1),0))</f>
        <v/>
      </c>
      <c r="I17" s="43">
        <f>IF(AND(INDEX(Galerias!$M$2:$M$37,MATCH(I$2,Galerias!$A$2:$A$37,0))&lt;&gt;"",$A17&gt;INDEX(Galerias!$M$2:$M$37,MATCH(I$2,Galerias!$A$2:$A$37,0))),"",ROUND(INDEX(Galerias!$N$2:$N$37,MATCH(I$2,Galerias!$A$2:$A$37,0))*INDEX(Galerias!$O$2:$O$37,MATCH(I$2,Galerias!$A$2:$A$37,0))^($A17-1),0))</f>
        <v/>
      </c>
      <c r="J17" s="43">
        <f>IF(AND(INDEX(Galerias!$M$2:$M$37,MATCH(J$2,Galerias!$A$2:$A$37,0))&lt;&gt;"",$A17&gt;INDEX(Galerias!$M$2:$M$37,MATCH(J$2,Galerias!$A$2:$A$37,0))),"",ROUND(INDEX(Galerias!$N$2:$N$37,MATCH(J$2,Galerias!$A$2:$A$37,0))*INDEX(Galerias!$O$2:$O$37,MATCH(J$2,Galerias!$A$2:$A$37,0))^($A17-1),0))</f>
        <v/>
      </c>
      <c r="K17" s="43">
        <f>IF(AND(INDEX(Galerias!$M$2:$M$37,MATCH(K$2,Galerias!$A$2:$A$37,0))&lt;&gt;"",$A17&gt;INDEX(Galerias!$M$2:$M$37,MATCH(K$2,Galerias!$A$2:$A$37,0))),"",ROUND(INDEX(Galerias!$N$2:$N$37,MATCH(K$2,Galerias!$A$2:$A$37,0))*INDEX(Galerias!$O$2:$O$37,MATCH(K$2,Galerias!$A$2:$A$37,0))^($A17-1),0))</f>
        <v/>
      </c>
      <c r="L17" s="43">
        <f>IF(AND(INDEX(Galerias!$M$2:$M$37,MATCH(L$2,Galerias!$A$2:$A$37,0))&lt;&gt;"",$A17&gt;INDEX(Galerias!$M$2:$M$37,MATCH(L$2,Galerias!$A$2:$A$37,0))),"",ROUND(INDEX(Galerias!$N$2:$N$37,MATCH(L$2,Galerias!$A$2:$A$37,0))*INDEX(Galerias!$O$2:$O$37,MATCH(L$2,Galerias!$A$2:$A$37,0))^($A17-1),0))</f>
        <v/>
      </c>
      <c r="M17" s="43">
        <f>IF(AND(INDEX(Galerias!$M$2:$M$37,MATCH(M$2,Galerias!$A$2:$A$37,0))&lt;&gt;"",$A17&gt;INDEX(Galerias!$M$2:$M$37,MATCH(M$2,Galerias!$A$2:$A$37,0))),"",ROUND(INDEX(Galerias!$N$2:$N$37,MATCH(M$2,Galerias!$A$2:$A$37,0))*INDEX(Galerias!$O$2:$O$37,MATCH(M$2,Galerias!$A$2:$A$37,0))^($A17-1),0))</f>
        <v/>
      </c>
      <c r="N17" s="43">
        <f>IF(AND(INDEX(Galerias!$M$2:$M$37,MATCH(N$2,Galerias!$A$2:$A$37,0))&lt;&gt;"",$A17&gt;INDEX(Galerias!$M$2:$M$37,MATCH(N$2,Galerias!$A$2:$A$37,0))),"",ROUND(INDEX(Galerias!$N$2:$N$37,MATCH(N$2,Galerias!$A$2:$A$37,0))*INDEX(Galerias!$O$2:$O$37,MATCH(N$2,Galerias!$A$2:$A$37,0))^($A17-1),0))</f>
        <v/>
      </c>
      <c r="O17" s="43">
        <f>IF(AND(INDEX(Galerias!$M$2:$M$37,MATCH(O$2,Galerias!$A$2:$A$37,0))&lt;&gt;"",$A17&gt;INDEX(Galerias!$M$2:$M$37,MATCH(O$2,Galerias!$A$2:$A$37,0))),"",ROUND(INDEX(Galerias!$N$2:$N$37,MATCH(O$2,Galerias!$A$2:$A$37,0))*INDEX(Galerias!$O$2:$O$37,MATCH(O$2,Galerias!$A$2:$A$37,0))^($A17-1),0))</f>
        <v/>
      </c>
      <c r="P17" s="43">
        <f>IF(AND(INDEX(Galerias!$M$2:$M$37,MATCH(P$2,Galerias!$A$2:$A$37,0))&lt;&gt;"",$A17&gt;INDEX(Galerias!$M$2:$M$37,MATCH(P$2,Galerias!$A$2:$A$37,0))),"",ROUND(INDEX(Galerias!$N$2:$N$37,MATCH(P$2,Galerias!$A$2:$A$37,0))*INDEX(Galerias!$O$2:$O$37,MATCH(P$2,Galerias!$A$2:$A$37,0))^($A17-1),0))</f>
        <v/>
      </c>
      <c r="Q17" s="43">
        <f>IF(AND(INDEX(Galerias!$M$2:$M$37,MATCH(Q$2,Galerias!$A$2:$A$37,0))&lt;&gt;"",$A17&gt;INDEX(Galerias!$M$2:$M$37,MATCH(Q$2,Galerias!$A$2:$A$37,0))),"",ROUND(INDEX(Galerias!$N$2:$N$37,MATCH(Q$2,Galerias!$A$2:$A$37,0))*INDEX(Galerias!$O$2:$O$37,MATCH(Q$2,Galerias!$A$2:$A$37,0))^($A17-1),0))</f>
        <v/>
      </c>
      <c r="R17" s="43">
        <f>IF(AND(INDEX(Galerias!$M$2:$M$37,MATCH(R$2,Galerias!$A$2:$A$37,0))&lt;&gt;"",$A17&gt;INDEX(Galerias!$M$2:$M$37,MATCH(R$2,Galerias!$A$2:$A$37,0))),"",ROUND(INDEX(Galerias!$N$2:$N$37,MATCH(R$2,Galerias!$A$2:$A$37,0))*INDEX(Galerias!$O$2:$O$37,MATCH(R$2,Galerias!$A$2:$A$37,0))^($A17-1),0))</f>
        <v/>
      </c>
      <c r="S17" s="43">
        <f>IF(AND(INDEX(Galerias!$M$2:$M$37,MATCH(S$2,Galerias!$A$2:$A$37,0))&lt;&gt;"",$A17&gt;INDEX(Galerias!$M$2:$M$37,MATCH(S$2,Galerias!$A$2:$A$37,0))),"",ROUND(INDEX(Galerias!$N$2:$N$37,MATCH(S$2,Galerias!$A$2:$A$37,0))*INDEX(Galerias!$O$2:$O$37,MATCH(S$2,Galerias!$A$2:$A$37,0))^($A17-1),0))</f>
        <v/>
      </c>
      <c r="T17" s="43">
        <f>IF(AND(INDEX(Galerias!$M$2:$M$37,MATCH(T$2,Galerias!$A$2:$A$37,0))&lt;&gt;"",$A17&gt;INDEX(Galerias!$M$2:$M$37,MATCH(T$2,Galerias!$A$2:$A$37,0))),"",ROUND(INDEX(Galerias!$N$2:$N$37,MATCH(T$2,Galerias!$A$2:$A$37,0))*INDEX(Galerias!$O$2:$O$37,MATCH(T$2,Galerias!$A$2:$A$37,0))^($A17-1),0))</f>
        <v/>
      </c>
      <c r="U17" s="43">
        <f>IF(AND(INDEX(Galerias!$M$2:$M$37,MATCH(U$2,Galerias!$A$2:$A$37,0))&lt;&gt;"",$A17&gt;INDEX(Galerias!$M$2:$M$37,MATCH(U$2,Galerias!$A$2:$A$37,0))),"",ROUND(INDEX(Galerias!$N$2:$N$37,MATCH(U$2,Galerias!$A$2:$A$37,0))*INDEX(Galerias!$O$2:$O$37,MATCH(U$2,Galerias!$A$2:$A$37,0))^($A17-1),0))</f>
        <v/>
      </c>
      <c r="V17" s="43">
        <f>IF(AND(INDEX(Galerias!$M$2:$M$37,MATCH(V$2,Galerias!$A$2:$A$37,0))&lt;&gt;"",$A17&gt;INDEX(Galerias!$M$2:$M$37,MATCH(V$2,Galerias!$A$2:$A$37,0))),"",ROUND(INDEX(Galerias!$N$2:$N$37,MATCH(V$2,Galerias!$A$2:$A$37,0))*INDEX(Galerias!$O$2:$O$37,MATCH(V$2,Galerias!$A$2:$A$37,0))^($A17-1),0))</f>
        <v/>
      </c>
      <c r="W17" s="43">
        <f>IF(AND(INDEX(Galerias!$M$2:$M$37,MATCH(W$2,Galerias!$A$2:$A$37,0))&lt;&gt;"",$A17&gt;INDEX(Galerias!$M$2:$M$37,MATCH(W$2,Galerias!$A$2:$A$37,0))),"",ROUND(INDEX(Galerias!$N$2:$N$37,MATCH(W$2,Galerias!$A$2:$A$37,0))*INDEX(Galerias!$O$2:$O$37,MATCH(W$2,Galerias!$A$2:$A$37,0))^($A17-1),0))</f>
        <v/>
      </c>
      <c r="X17" s="43">
        <f>IF(AND(INDEX(Galerias!$M$2:$M$37,MATCH(X$2,Galerias!$A$2:$A$37,0))&lt;&gt;"",$A17&gt;INDEX(Galerias!$M$2:$M$37,MATCH(X$2,Galerias!$A$2:$A$37,0))),"",ROUND(INDEX(Galerias!$N$2:$N$37,MATCH(X$2,Galerias!$A$2:$A$37,0))*INDEX(Galerias!$O$2:$O$37,MATCH(X$2,Galerias!$A$2:$A$37,0))^($A17-1),0))</f>
        <v/>
      </c>
      <c r="Y17" s="43">
        <f>IF(AND(INDEX(Galerias!$M$2:$M$37,MATCH(Y$2,Galerias!$A$2:$A$37,0))&lt;&gt;"",$A17&gt;INDEX(Galerias!$M$2:$M$37,MATCH(Y$2,Galerias!$A$2:$A$37,0))),"",ROUND(INDEX(Galerias!$N$2:$N$37,MATCH(Y$2,Galerias!$A$2:$A$37,0))*INDEX(Galerias!$O$2:$O$37,MATCH(Y$2,Galerias!$A$2:$A$37,0))^($A17-1),0))</f>
        <v/>
      </c>
      <c r="Z17" s="43">
        <f>IF(AND(INDEX(Galerias!$M$2:$M$37,MATCH(Z$2,Galerias!$A$2:$A$37,0))&lt;&gt;"",$A17&gt;INDEX(Galerias!$M$2:$M$37,MATCH(Z$2,Galerias!$A$2:$A$37,0))),"",ROUND(INDEX(Galerias!$N$2:$N$37,MATCH(Z$2,Galerias!$A$2:$A$37,0))*INDEX(Galerias!$O$2:$O$37,MATCH(Z$2,Galerias!$A$2:$A$37,0))^($A17-1),0))</f>
        <v/>
      </c>
      <c r="AA17" s="43">
        <f>IF(AND(INDEX(Galerias!$M$2:$M$37,MATCH(AA$2,Galerias!$A$2:$A$37,0))&lt;&gt;"",$A17&gt;INDEX(Galerias!$M$2:$M$37,MATCH(AA$2,Galerias!$A$2:$A$37,0))),"",ROUND(INDEX(Galerias!$N$2:$N$37,MATCH(AA$2,Galerias!$A$2:$A$37,0))*INDEX(Galerias!$O$2:$O$37,MATCH(AA$2,Galerias!$A$2:$A$37,0))^($A17-1),0))</f>
        <v/>
      </c>
      <c r="AB17" s="43">
        <f>IF(AND(INDEX(Galerias!$M$2:$M$37,MATCH(AB$2,Galerias!$A$2:$A$37,0))&lt;&gt;"",$A17&gt;INDEX(Galerias!$M$2:$M$37,MATCH(AB$2,Galerias!$A$2:$A$37,0))),"",ROUND(INDEX(Galerias!$N$2:$N$37,MATCH(AB$2,Galerias!$A$2:$A$37,0))*INDEX(Galerias!$O$2:$O$37,MATCH(AB$2,Galerias!$A$2:$A$37,0))^($A17-1),0))</f>
        <v/>
      </c>
      <c r="AC17" s="43">
        <f>IF(AND(INDEX(Galerias!$M$2:$M$37,MATCH(AC$2,Galerias!$A$2:$A$37,0))&lt;&gt;"",$A17&gt;INDEX(Galerias!$M$2:$M$37,MATCH(AC$2,Galerias!$A$2:$A$37,0))),"",ROUND(INDEX(Galerias!$N$2:$N$37,MATCH(AC$2,Galerias!$A$2:$A$37,0))*INDEX(Galerias!$O$2:$O$37,MATCH(AC$2,Galerias!$A$2:$A$37,0))^($A17-1),0))</f>
        <v/>
      </c>
      <c r="AD17" s="43">
        <f>IF(AND(INDEX(Galerias!$M$2:$M$37,MATCH(AD$2,Galerias!$A$2:$A$37,0))&lt;&gt;"",$A17&gt;INDEX(Galerias!$M$2:$M$37,MATCH(AD$2,Galerias!$A$2:$A$37,0))),"",ROUND(INDEX(Galerias!$N$2:$N$37,MATCH(AD$2,Galerias!$A$2:$A$37,0))*INDEX(Galerias!$O$2:$O$37,MATCH(AD$2,Galerias!$A$2:$A$37,0))^($A17-1),0))</f>
        <v/>
      </c>
      <c r="AE17" s="43">
        <f>IF(AND(INDEX(Galerias!$M$2:$M$37,MATCH(AE$2,Galerias!$A$2:$A$37,0))&lt;&gt;"",$A17&gt;INDEX(Galerias!$M$2:$M$37,MATCH(AE$2,Galerias!$A$2:$A$37,0))),"",ROUND(INDEX(Galerias!$N$2:$N$37,MATCH(AE$2,Galerias!$A$2:$A$37,0))*INDEX(Galerias!$O$2:$O$37,MATCH(AE$2,Galerias!$A$2:$A$37,0))^($A17-1),0))</f>
        <v/>
      </c>
      <c r="AF17" s="43">
        <f>IF(AND(INDEX(Galerias!$M$2:$M$37,MATCH(AF$2,Galerias!$A$2:$A$37,0))&lt;&gt;"",$A17&gt;INDEX(Galerias!$M$2:$M$37,MATCH(AF$2,Galerias!$A$2:$A$37,0))),"",ROUND(INDEX(Galerias!$N$2:$N$37,MATCH(AF$2,Galerias!$A$2:$A$37,0))*INDEX(Galerias!$O$2:$O$37,MATCH(AF$2,Galerias!$A$2:$A$37,0))^($A17-1),0))</f>
        <v/>
      </c>
      <c r="AG17" s="43">
        <f>IF(AND(INDEX(Galerias!$M$2:$M$37,MATCH(AG$2,Galerias!$A$2:$A$37,0))&lt;&gt;"",$A17&gt;INDEX(Galerias!$M$2:$M$37,MATCH(AG$2,Galerias!$A$2:$A$37,0))),"",ROUND(INDEX(Galerias!$N$2:$N$37,MATCH(AG$2,Galerias!$A$2:$A$37,0))*INDEX(Galerias!$O$2:$O$37,MATCH(AG$2,Galerias!$A$2:$A$37,0))^($A17-1),0))</f>
        <v/>
      </c>
      <c r="AH17" s="43">
        <f>IF(AND(INDEX(Galerias!$M$2:$M$37,MATCH(AH$2,Galerias!$A$2:$A$37,0))&lt;&gt;"",$A17&gt;INDEX(Galerias!$M$2:$M$37,MATCH(AH$2,Galerias!$A$2:$A$37,0))),"",ROUND(INDEX(Galerias!$N$2:$N$37,MATCH(AH$2,Galerias!$A$2:$A$37,0))*INDEX(Galerias!$O$2:$O$37,MATCH(AH$2,Galerias!$A$2:$A$37,0))^($A17-1),0))</f>
        <v/>
      </c>
      <c r="AI17" s="43">
        <f>IF(AND(INDEX(Galerias!$M$2:$M$37,MATCH(AI$2,Galerias!$A$2:$A$37,0))&lt;&gt;"",$A17&gt;INDEX(Galerias!$M$2:$M$37,MATCH(AI$2,Galerias!$A$2:$A$37,0))),"",ROUND(INDEX(Galerias!$N$2:$N$37,MATCH(AI$2,Galerias!$A$2:$A$37,0))*INDEX(Galerias!$O$2:$O$37,MATCH(AI$2,Galerias!$A$2:$A$37,0))^($A17-1),0))</f>
        <v/>
      </c>
      <c r="AJ17" s="43">
        <f>IF(AND(INDEX(Galerias!$M$2:$M$37,MATCH(AJ$2,Galerias!$A$2:$A$37,0))&lt;&gt;"",$A17&gt;INDEX(Galerias!$M$2:$M$37,MATCH(AJ$2,Galerias!$A$2:$A$37,0))),"",ROUND(INDEX(Galerias!$N$2:$N$37,MATCH(AJ$2,Galerias!$A$2:$A$37,0))*INDEX(Galerias!$O$2:$O$37,MATCH(AJ$2,Galerias!$A$2:$A$37,0))^($A17-1),0))</f>
        <v/>
      </c>
      <c r="AK17" s="43">
        <f>IF(AND(INDEX(Galerias!$M$2:$M$37,MATCH(AK$2,Galerias!$A$2:$A$37,0))&lt;&gt;"",$A17&gt;INDEX(Galerias!$M$2:$M$37,MATCH(AK$2,Galerias!$A$2:$A$37,0))),"",ROUND(INDEX(Galerias!$N$2:$N$37,MATCH(AK$2,Galerias!$A$2:$A$37,0))*INDEX(Galerias!$O$2:$O$37,MATCH(AK$2,Galerias!$A$2:$A$37,0))^($A17-1),0))</f>
        <v/>
      </c>
    </row>
    <row r="18" ht="15" customHeight="1" s="23">
      <c r="A18" s="25" t="n">
        <v>16</v>
      </c>
      <c r="B18" s="43">
        <f>IF(AND(INDEX(Galerias!$M$2:$M$37,MATCH(B$2,Galerias!$A$2:$A$37,0))&lt;&gt;"",$A18&gt;INDEX(Galerias!$M$2:$M$37,MATCH(B$2,Galerias!$A$2:$A$37,0))),"",ROUND(INDEX(Galerias!$N$2:$N$37,MATCH(B$2,Galerias!$A$2:$A$37,0))*INDEX(Galerias!$O$2:$O$37,MATCH(B$2,Galerias!$A$2:$A$37,0))^($A18-1),0))</f>
        <v/>
      </c>
      <c r="C18" s="43">
        <f>IF(AND(INDEX(Galerias!$M$2:$M$37,MATCH(C$2,Galerias!$A$2:$A$37,0))&lt;&gt;"",$A18&gt;INDEX(Galerias!$M$2:$M$37,MATCH(C$2,Galerias!$A$2:$A$37,0))),"",ROUND(INDEX(Galerias!$N$2:$N$37,MATCH(C$2,Galerias!$A$2:$A$37,0))*INDEX(Galerias!$O$2:$O$37,MATCH(C$2,Galerias!$A$2:$A$37,0))^($A18-1),0))</f>
        <v/>
      </c>
      <c r="D18" s="43">
        <f>IF(AND(INDEX(Galerias!$M$2:$M$37,MATCH(D$2,Galerias!$A$2:$A$37,0))&lt;&gt;"",$A18&gt;INDEX(Galerias!$M$2:$M$37,MATCH(D$2,Galerias!$A$2:$A$37,0))),"",ROUND(INDEX(Galerias!$N$2:$N$37,MATCH(D$2,Galerias!$A$2:$A$37,0))*INDEX(Galerias!$O$2:$O$37,MATCH(D$2,Galerias!$A$2:$A$37,0))^($A18-1),0))</f>
        <v/>
      </c>
      <c r="E18" s="43">
        <f>IF(AND(INDEX(Galerias!$M$2:$M$37,MATCH(E$2,Galerias!$A$2:$A$37,0))&lt;&gt;"",$A18&gt;INDEX(Galerias!$M$2:$M$37,MATCH(E$2,Galerias!$A$2:$A$37,0))),"",ROUND(INDEX(Galerias!$N$2:$N$37,MATCH(E$2,Galerias!$A$2:$A$37,0))*INDEX(Galerias!$O$2:$O$37,MATCH(E$2,Galerias!$A$2:$A$37,0))^($A18-1),0))</f>
        <v/>
      </c>
      <c r="F18" s="43">
        <f>IF(AND(INDEX(Galerias!$M$2:$M$37,MATCH(F$2,Galerias!$A$2:$A$37,0))&lt;&gt;"",$A18&gt;INDEX(Galerias!$M$2:$M$37,MATCH(F$2,Galerias!$A$2:$A$37,0))),"",ROUND(INDEX(Galerias!$N$2:$N$37,MATCH(F$2,Galerias!$A$2:$A$37,0))*INDEX(Galerias!$O$2:$O$37,MATCH(F$2,Galerias!$A$2:$A$37,0))^($A18-1),0))</f>
        <v/>
      </c>
      <c r="G18" s="43">
        <f>IF(AND(INDEX(Galerias!$M$2:$M$37,MATCH(G$2,Galerias!$A$2:$A$37,0))&lt;&gt;"",$A18&gt;INDEX(Galerias!$M$2:$M$37,MATCH(G$2,Galerias!$A$2:$A$37,0))),"",ROUND(INDEX(Galerias!$N$2:$N$37,MATCH(G$2,Galerias!$A$2:$A$37,0))*INDEX(Galerias!$O$2:$O$37,MATCH(G$2,Galerias!$A$2:$A$37,0))^($A18-1),0))</f>
        <v/>
      </c>
      <c r="H18" s="43">
        <f>IF(AND(INDEX(Galerias!$M$2:$M$37,MATCH(H$2,Galerias!$A$2:$A$37,0))&lt;&gt;"",$A18&gt;INDEX(Galerias!$M$2:$M$37,MATCH(H$2,Galerias!$A$2:$A$37,0))),"",ROUND(INDEX(Galerias!$N$2:$N$37,MATCH(H$2,Galerias!$A$2:$A$37,0))*INDEX(Galerias!$O$2:$O$37,MATCH(H$2,Galerias!$A$2:$A$37,0))^($A18-1),0))</f>
        <v/>
      </c>
      <c r="I18" s="43">
        <f>IF(AND(INDEX(Galerias!$M$2:$M$37,MATCH(I$2,Galerias!$A$2:$A$37,0))&lt;&gt;"",$A18&gt;INDEX(Galerias!$M$2:$M$37,MATCH(I$2,Galerias!$A$2:$A$37,0))),"",ROUND(INDEX(Galerias!$N$2:$N$37,MATCH(I$2,Galerias!$A$2:$A$37,0))*INDEX(Galerias!$O$2:$O$37,MATCH(I$2,Galerias!$A$2:$A$37,0))^($A18-1),0))</f>
        <v/>
      </c>
      <c r="J18" s="43">
        <f>IF(AND(INDEX(Galerias!$M$2:$M$37,MATCH(J$2,Galerias!$A$2:$A$37,0))&lt;&gt;"",$A18&gt;INDEX(Galerias!$M$2:$M$37,MATCH(J$2,Galerias!$A$2:$A$37,0))),"",ROUND(INDEX(Galerias!$N$2:$N$37,MATCH(J$2,Galerias!$A$2:$A$37,0))*INDEX(Galerias!$O$2:$O$37,MATCH(J$2,Galerias!$A$2:$A$37,0))^($A18-1),0))</f>
        <v/>
      </c>
      <c r="K18" s="43">
        <f>IF(AND(INDEX(Galerias!$M$2:$M$37,MATCH(K$2,Galerias!$A$2:$A$37,0))&lt;&gt;"",$A18&gt;INDEX(Galerias!$M$2:$M$37,MATCH(K$2,Galerias!$A$2:$A$37,0))),"",ROUND(INDEX(Galerias!$N$2:$N$37,MATCH(K$2,Galerias!$A$2:$A$37,0))*INDEX(Galerias!$O$2:$O$37,MATCH(K$2,Galerias!$A$2:$A$37,0))^($A18-1),0))</f>
        <v/>
      </c>
      <c r="L18" s="43">
        <f>IF(AND(INDEX(Galerias!$M$2:$M$37,MATCH(L$2,Galerias!$A$2:$A$37,0))&lt;&gt;"",$A18&gt;INDEX(Galerias!$M$2:$M$37,MATCH(L$2,Galerias!$A$2:$A$37,0))),"",ROUND(INDEX(Galerias!$N$2:$N$37,MATCH(L$2,Galerias!$A$2:$A$37,0))*INDEX(Galerias!$O$2:$O$37,MATCH(L$2,Galerias!$A$2:$A$37,0))^($A18-1),0))</f>
        <v/>
      </c>
      <c r="M18" s="43">
        <f>IF(AND(INDEX(Galerias!$M$2:$M$37,MATCH(M$2,Galerias!$A$2:$A$37,0))&lt;&gt;"",$A18&gt;INDEX(Galerias!$M$2:$M$37,MATCH(M$2,Galerias!$A$2:$A$37,0))),"",ROUND(INDEX(Galerias!$N$2:$N$37,MATCH(M$2,Galerias!$A$2:$A$37,0))*INDEX(Galerias!$O$2:$O$37,MATCH(M$2,Galerias!$A$2:$A$37,0))^($A18-1),0))</f>
        <v/>
      </c>
      <c r="N18" s="43">
        <f>IF(AND(INDEX(Galerias!$M$2:$M$37,MATCH(N$2,Galerias!$A$2:$A$37,0))&lt;&gt;"",$A18&gt;INDEX(Galerias!$M$2:$M$37,MATCH(N$2,Galerias!$A$2:$A$37,0))),"",ROUND(INDEX(Galerias!$N$2:$N$37,MATCH(N$2,Galerias!$A$2:$A$37,0))*INDEX(Galerias!$O$2:$O$37,MATCH(N$2,Galerias!$A$2:$A$37,0))^($A18-1),0))</f>
        <v/>
      </c>
      <c r="O18" s="43">
        <f>IF(AND(INDEX(Galerias!$M$2:$M$37,MATCH(O$2,Galerias!$A$2:$A$37,0))&lt;&gt;"",$A18&gt;INDEX(Galerias!$M$2:$M$37,MATCH(O$2,Galerias!$A$2:$A$37,0))),"",ROUND(INDEX(Galerias!$N$2:$N$37,MATCH(O$2,Galerias!$A$2:$A$37,0))*INDEX(Galerias!$O$2:$O$37,MATCH(O$2,Galerias!$A$2:$A$37,0))^($A18-1),0))</f>
        <v/>
      </c>
      <c r="P18" s="43">
        <f>IF(AND(INDEX(Galerias!$M$2:$M$37,MATCH(P$2,Galerias!$A$2:$A$37,0))&lt;&gt;"",$A18&gt;INDEX(Galerias!$M$2:$M$37,MATCH(P$2,Galerias!$A$2:$A$37,0))),"",ROUND(INDEX(Galerias!$N$2:$N$37,MATCH(P$2,Galerias!$A$2:$A$37,0))*INDEX(Galerias!$O$2:$O$37,MATCH(P$2,Galerias!$A$2:$A$37,0))^($A18-1),0))</f>
        <v/>
      </c>
      <c r="Q18" s="43">
        <f>IF(AND(INDEX(Galerias!$M$2:$M$37,MATCH(Q$2,Galerias!$A$2:$A$37,0))&lt;&gt;"",$A18&gt;INDEX(Galerias!$M$2:$M$37,MATCH(Q$2,Galerias!$A$2:$A$37,0))),"",ROUND(INDEX(Galerias!$N$2:$N$37,MATCH(Q$2,Galerias!$A$2:$A$37,0))*INDEX(Galerias!$O$2:$O$37,MATCH(Q$2,Galerias!$A$2:$A$37,0))^($A18-1),0))</f>
        <v/>
      </c>
      <c r="R18" s="43">
        <f>IF(AND(INDEX(Galerias!$M$2:$M$37,MATCH(R$2,Galerias!$A$2:$A$37,0))&lt;&gt;"",$A18&gt;INDEX(Galerias!$M$2:$M$37,MATCH(R$2,Galerias!$A$2:$A$37,0))),"",ROUND(INDEX(Galerias!$N$2:$N$37,MATCH(R$2,Galerias!$A$2:$A$37,0))*INDEX(Galerias!$O$2:$O$37,MATCH(R$2,Galerias!$A$2:$A$37,0))^($A18-1),0))</f>
        <v/>
      </c>
      <c r="S18" s="43">
        <f>IF(AND(INDEX(Galerias!$M$2:$M$37,MATCH(S$2,Galerias!$A$2:$A$37,0))&lt;&gt;"",$A18&gt;INDEX(Galerias!$M$2:$M$37,MATCH(S$2,Galerias!$A$2:$A$37,0))),"",ROUND(INDEX(Galerias!$N$2:$N$37,MATCH(S$2,Galerias!$A$2:$A$37,0))*INDEX(Galerias!$O$2:$O$37,MATCH(S$2,Galerias!$A$2:$A$37,0))^($A18-1),0))</f>
        <v/>
      </c>
      <c r="T18" s="43">
        <f>IF(AND(INDEX(Galerias!$M$2:$M$37,MATCH(T$2,Galerias!$A$2:$A$37,0))&lt;&gt;"",$A18&gt;INDEX(Galerias!$M$2:$M$37,MATCH(T$2,Galerias!$A$2:$A$37,0))),"",ROUND(INDEX(Galerias!$N$2:$N$37,MATCH(T$2,Galerias!$A$2:$A$37,0))*INDEX(Galerias!$O$2:$O$37,MATCH(T$2,Galerias!$A$2:$A$37,0))^($A18-1),0))</f>
        <v/>
      </c>
      <c r="U18" s="43">
        <f>IF(AND(INDEX(Galerias!$M$2:$M$37,MATCH(U$2,Galerias!$A$2:$A$37,0))&lt;&gt;"",$A18&gt;INDEX(Galerias!$M$2:$M$37,MATCH(U$2,Galerias!$A$2:$A$37,0))),"",ROUND(INDEX(Galerias!$N$2:$N$37,MATCH(U$2,Galerias!$A$2:$A$37,0))*INDEX(Galerias!$O$2:$O$37,MATCH(U$2,Galerias!$A$2:$A$37,0))^($A18-1),0))</f>
        <v/>
      </c>
      <c r="V18" s="43">
        <f>IF(AND(INDEX(Galerias!$M$2:$M$37,MATCH(V$2,Galerias!$A$2:$A$37,0))&lt;&gt;"",$A18&gt;INDEX(Galerias!$M$2:$M$37,MATCH(V$2,Galerias!$A$2:$A$37,0))),"",ROUND(INDEX(Galerias!$N$2:$N$37,MATCH(V$2,Galerias!$A$2:$A$37,0))*INDEX(Galerias!$O$2:$O$37,MATCH(V$2,Galerias!$A$2:$A$37,0))^($A18-1),0))</f>
        <v/>
      </c>
      <c r="W18" s="43">
        <f>IF(AND(INDEX(Galerias!$M$2:$M$37,MATCH(W$2,Galerias!$A$2:$A$37,0))&lt;&gt;"",$A18&gt;INDEX(Galerias!$M$2:$M$37,MATCH(W$2,Galerias!$A$2:$A$37,0))),"",ROUND(INDEX(Galerias!$N$2:$N$37,MATCH(W$2,Galerias!$A$2:$A$37,0))*INDEX(Galerias!$O$2:$O$37,MATCH(W$2,Galerias!$A$2:$A$37,0))^($A18-1),0))</f>
        <v/>
      </c>
      <c r="X18" s="43">
        <f>IF(AND(INDEX(Galerias!$M$2:$M$37,MATCH(X$2,Galerias!$A$2:$A$37,0))&lt;&gt;"",$A18&gt;INDEX(Galerias!$M$2:$M$37,MATCH(X$2,Galerias!$A$2:$A$37,0))),"",ROUND(INDEX(Galerias!$N$2:$N$37,MATCH(X$2,Galerias!$A$2:$A$37,0))*INDEX(Galerias!$O$2:$O$37,MATCH(X$2,Galerias!$A$2:$A$37,0))^($A18-1),0))</f>
        <v/>
      </c>
      <c r="Y18" s="43">
        <f>IF(AND(INDEX(Galerias!$M$2:$M$37,MATCH(Y$2,Galerias!$A$2:$A$37,0))&lt;&gt;"",$A18&gt;INDEX(Galerias!$M$2:$M$37,MATCH(Y$2,Galerias!$A$2:$A$37,0))),"",ROUND(INDEX(Galerias!$N$2:$N$37,MATCH(Y$2,Galerias!$A$2:$A$37,0))*INDEX(Galerias!$O$2:$O$37,MATCH(Y$2,Galerias!$A$2:$A$37,0))^($A18-1),0))</f>
        <v/>
      </c>
      <c r="Z18" s="43">
        <f>IF(AND(INDEX(Galerias!$M$2:$M$37,MATCH(Z$2,Galerias!$A$2:$A$37,0))&lt;&gt;"",$A18&gt;INDEX(Galerias!$M$2:$M$37,MATCH(Z$2,Galerias!$A$2:$A$37,0))),"",ROUND(INDEX(Galerias!$N$2:$N$37,MATCH(Z$2,Galerias!$A$2:$A$37,0))*INDEX(Galerias!$O$2:$O$37,MATCH(Z$2,Galerias!$A$2:$A$37,0))^($A18-1),0))</f>
        <v/>
      </c>
      <c r="AA18" s="43">
        <f>IF(AND(INDEX(Galerias!$M$2:$M$37,MATCH(AA$2,Galerias!$A$2:$A$37,0))&lt;&gt;"",$A18&gt;INDEX(Galerias!$M$2:$M$37,MATCH(AA$2,Galerias!$A$2:$A$37,0))),"",ROUND(INDEX(Galerias!$N$2:$N$37,MATCH(AA$2,Galerias!$A$2:$A$37,0))*INDEX(Galerias!$O$2:$O$37,MATCH(AA$2,Galerias!$A$2:$A$37,0))^($A18-1),0))</f>
        <v/>
      </c>
      <c r="AB18" s="43">
        <f>IF(AND(INDEX(Galerias!$M$2:$M$37,MATCH(AB$2,Galerias!$A$2:$A$37,0))&lt;&gt;"",$A18&gt;INDEX(Galerias!$M$2:$M$37,MATCH(AB$2,Galerias!$A$2:$A$37,0))),"",ROUND(INDEX(Galerias!$N$2:$N$37,MATCH(AB$2,Galerias!$A$2:$A$37,0))*INDEX(Galerias!$O$2:$O$37,MATCH(AB$2,Galerias!$A$2:$A$37,0))^($A18-1),0))</f>
        <v/>
      </c>
      <c r="AC18" s="43">
        <f>IF(AND(INDEX(Galerias!$M$2:$M$37,MATCH(AC$2,Galerias!$A$2:$A$37,0))&lt;&gt;"",$A18&gt;INDEX(Galerias!$M$2:$M$37,MATCH(AC$2,Galerias!$A$2:$A$37,0))),"",ROUND(INDEX(Galerias!$N$2:$N$37,MATCH(AC$2,Galerias!$A$2:$A$37,0))*INDEX(Galerias!$O$2:$O$37,MATCH(AC$2,Galerias!$A$2:$A$37,0))^($A18-1),0))</f>
        <v/>
      </c>
      <c r="AD18" s="43">
        <f>IF(AND(INDEX(Galerias!$M$2:$M$37,MATCH(AD$2,Galerias!$A$2:$A$37,0))&lt;&gt;"",$A18&gt;INDEX(Galerias!$M$2:$M$37,MATCH(AD$2,Galerias!$A$2:$A$37,0))),"",ROUND(INDEX(Galerias!$N$2:$N$37,MATCH(AD$2,Galerias!$A$2:$A$37,0))*INDEX(Galerias!$O$2:$O$37,MATCH(AD$2,Galerias!$A$2:$A$37,0))^($A18-1),0))</f>
        <v/>
      </c>
      <c r="AE18" s="43">
        <f>IF(AND(INDEX(Galerias!$M$2:$M$37,MATCH(AE$2,Galerias!$A$2:$A$37,0))&lt;&gt;"",$A18&gt;INDEX(Galerias!$M$2:$M$37,MATCH(AE$2,Galerias!$A$2:$A$37,0))),"",ROUND(INDEX(Galerias!$N$2:$N$37,MATCH(AE$2,Galerias!$A$2:$A$37,0))*INDEX(Galerias!$O$2:$O$37,MATCH(AE$2,Galerias!$A$2:$A$37,0))^($A18-1),0))</f>
        <v/>
      </c>
      <c r="AF18" s="43">
        <f>IF(AND(INDEX(Galerias!$M$2:$M$37,MATCH(AF$2,Galerias!$A$2:$A$37,0))&lt;&gt;"",$A18&gt;INDEX(Galerias!$M$2:$M$37,MATCH(AF$2,Galerias!$A$2:$A$37,0))),"",ROUND(INDEX(Galerias!$N$2:$N$37,MATCH(AF$2,Galerias!$A$2:$A$37,0))*INDEX(Galerias!$O$2:$O$37,MATCH(AF$2,Galerias!$A$2:$A$37,0))^($A18-1),0))</f>
        <v/>
      </c>
      <c r="AG18" s="43">
        <f>IF(AND(INDEX(Galerias!$M$2:$M$37,MATCH(AG$2,Galerias!$A$2:$A$37,0))&lt;&gt;"",$A18&gt;INDEX(Galerias!$M$2:$M$37,MATCH(AG$2,Galerias!$A$2:$A$37,0))),"",ROUND(INDEX(Galerias!$N$2:$N$37,MATCH(AG$2,Galerias!$A$2:$A$37,0))*INDEX(Galerias!$O$2:$O$37,MATCH(AG$2,Galerias!$A$2:$A$37,0))^($A18-1),0))</f>
        <v/>
      </c>
      <c r="AH18" s="43">
        <f>IF(AND(INDEX(Galerias!$M$2:$M$37,MATCH(AH$2,Galerias!$A$2:$A$37,0))&lt;&gt;"",$A18&gt;INDEX(Galerias!$M$2:$M$37,MATCH(AH$2,Galerias!$A$2:$A$37,0))),"",ROUND(INDEX(Galerias!$N$2:$N$37,MATCH(AH$2,Galerias!$A$2:$A$37,0))*INDEX(Galerias!$O$2:$O$37,MATCH(AH$2,Galerias!$A$2:$A$37,0))^($A18-1),0))</f>
        <v/>
      </c>
      <c r="AI18" s="43">
        <f>IF(AND(INDEX(Galerias!$M$2:$M$37,MATCH(AI$2,Galerias!$A$2:$A$37,0))&lt;&gt;"",$A18&gt;INDEX(Galerias!$M$2:$M$37,MATCH(AI$2,Galerias!$A$2:$A$37,0))),"",ROUND(INDEX(Galerias!$N$2:$N$37,MATCH(AI$2,Galerias!$A$2:$A$37,0))*INDEX(Galerias!$O$2:$O$37,MATCH(AI$2,Galerias!$A$2:$A$37,0))^($A18-1),0))</f>
        <v/>
      </c>
      <c r="AJ18" s="43">
        <f>IF(AND(INDEX(Galerias!$M$2:$M$37,MATCH(AJ$2,Galerias!$A$2:$A$37,0))&lt;&gt;"",$A18&gt;INDEX(Galerias!$M$2:$M$37,MATCH(AJ$2,Galerias!$A$2:$A$37,0))),"",ROUND(INDEX(Galerias!$N$2:$N$37,MATCH(AJ$2,Galerias!$A$2:$A$37,0))*INDEX(Galerias!$O$2:$O$37,MATCH(AJ$2,Galerias!$A$2:$A$37,0))^($A18-1),0))</f>
        <v/>
      </c>
      <c r="AK18" s="43">
        <f>IF(AND(INDEX(Galerias!$M$2:$M$37,MATCH(AK$2,Galerias!$A$2:$A$37,0))&lt;&gt;"",$A18&gt;INDEX(Galerias!$M$2:$M$37,MATCH(AK$2,Galerias!$A$2:$A$37,0))),"",ROUND(INDEX(Galerias!$N$2:$N$37,MATCH(AK$2,Galerias!$A$2:$A$37,0))*INDEX(Galerias!$O$2:$O$37,MATCH(AK$2,Galerias!$A$2:$A$37,0))^($A18-1),0))</f>
        <v/>
      </c>
    </row>
    <row r="19" ht="15" customHeight="1" s="23">
      <c r="A19" s="25" t="n">
        <v>17</v>
      </c>
      <c r="B19" s="43">
        <f>IF(AND(INDEX(Galerias!$M$2:$M$37,MATCH(B$2,Galerias!$A$2:$A$37,0))&lt;&gt;"",$A19&gt;INDEX(Galerias!$M$2:$M$37,MATCH(B$2,Galerias!$A$2:$A$37,0))),"",ROUND(INDEX(Galerias!$N$2:$N$37,MATCH(B$2,Galerias!$A$2:$A$37,0))*INDEX(Galerias!$O$2:$O$37,MATCH(B$2,Galerias!$A$2:$A$37,0))^($A19-1),0))</f>
        <v/>
      </c>
      <c r="C19" s="43">
        <f>IF(AND(INDEX(Galerias!$M$2:$M$37,MATCH(C$2,Galerias!$A$2:$A$37,0))&lt;&gt;"",$A19&gt;INDEX(Galerias!$M$2:$M$37,MATCH(C$2,Galerias!$A$2:$A$37,0))),"",ROUND(INDEX(Galerias!$N$2:$N$37,MATCH(C$2,Galerias!$A$2:$A$37,0))*INDEX(Galerias!$O$2:$O$37,MATCH(C$2,Galerias!$A$2:$A$37,0))^($A19-1),0))</f>
        <v/>
      </c>
      <c r="D19" s="43">
        <f>IF(AND(INDEX(Galerias!$M$2:$M$37,MATCH(D$2,Galerias!$A$2:$A$37,0))&lt;&gt;"",$A19&gt;INDEX(Galerias!$M$2:$M$37,MATCH(D$2,Galerias!$A$2:$A$37,0))),"",ROUND(INDEX(Galerias!$N$2:$N$37,MATCH(D$2,Galerias!$A$2:$A$37,0))*INDEX(Galerias!$O$2:$O$37,MATCH(D$2,Galerias!$A$2:$A$37,0))^($A19-1),0))</f>
        <v/>
      </c>
      <c r="E19" s="43">
        <f>IF(AND(INDEX(Galerias!$M$2:$M$37,MATCH(E$2,Galerias!$A$2:$A$37,0))&lt;&gt;"",$A19&gt;INDEX(Galerias!$M$2:$M$37,MATCH(E$2,Galerias!$A$2:$A$37,0))),"",ROUND(INDEX(Galerias!$N$2:$N$37,MATCH(E$2,Galerias!$A$2:$A$37,0))*INDEX(Galerias!$O$2:$O$37,MATCH(E$2,Galerias!$A$2:$A$37,0))^($A19-1),0))</f>
        <v/>
      </c>
      <c r="F19" s="43">
        <f>IF(AND(INDEX(Galerias!$M$2:$M$37,MATCH(F$2,Galerias!$A$2:$A$37,0))&lt;&gt;"",$A19&gt;INDEX(Galerias!$M$2:$M$37,MATCH(F$2,Galerias!$A$2:$A$37,0))),"",ROUND(INDEX(Galerias!$N$2:$N$37,MATCH(F$2,Galerias!$A$2:$A$37,0))*INDEX(Galerias!$O$2:$O$37,MATCH(F$2,Galerias!$A$2:$A$37,0))^($A19-1),0))</f>
        <v/>
      </c>
      <c r="G19" s="43">
        <f>IF(AND(INDEX(Galerias!$M$2:$M$37,MATCH(G$2,Galerias!$A$2:$A$37,0))&lt;&gt;"",$A19&gt;INDEX(Galerias!$M$2:$M$37,MATCH(G$2,Galerias!$A$2:$A$37,0))),"",ROUND(INDEX(Galerias!$N$2:$N$37,MATCH(G$2,Galerias!$A$2:$A$37,0))*INDEX(Galerias!$O$2:$O$37,MATCH(G$2,Galerias!$A$2:$A$37,0))^($A19-1),0))</f>
        <v/>
      </c>
      <c r="H19" s="43">
        <f>IF(AND(INDEX(Galerias!$M$2:$M$37,MATCH(H$2,Galerias!$A$2:$A$37,0))&lt;&gt;"",$A19&gt;INDEX(Galerias!$M$2:$M$37,MATCH(H$2,Galerias!$A$2:$A$37,0))),"",ROUND(INDEX(Galerias!$N$2:$N$37,MATCH(H$2,Galerias!$A$2:$A$37,0))*INDEX(Galerias!$O$2:$O$37,MATCH(H$2,Galerias!$A$2:$A$37,0))^($A19-1),0))</f>
        <v/>
      </c>
      <c r="I19" s="43">
        <f>IF(AND(INDEX(Galerias!$M$2:$M$37,MATCH(I$2,Galerias!$A$2:$A$37,0))&lt;&gt;"",$A19&gt;INDEX(Galerias!$M$2:$M$37,MATCH(I$2,Galerias!$A$2:$A$37,0))),"",ROUND(INDEX(Galerias!$N$2:$N$37,MATCH(I$2,Galerias!$A$2:$A$37,0))*INDEX(Galerias!$O$2:$O$37,MATCH(I$2,Galerias!$A$2:$A$37,0))^($A19-1),0))</f>
        <v/>
      </c>
      <c r="J19" s="43">
        <f>IF(AND(INDEX(Galerias!$M$2:$M$37,MATCH(J$2,Galerias!$A$2:$A$37,0))&lt;&gt;"",$A19&gt;INDEX(Galerias!$M$2:$M$37,MATCH(J$2,Galerias!$A$2:$A$37,0))),"",ROUND(INDEX(Galerias!$N$2:$N$37,MATCH(J$2,Galerias!$A$2:$A$37,0))*INDEX(Galerias!$O$2:$O$37,MATCH(J$2,Galerias!$A$2:$A$37,0))^($A19-1),0))</f>
        <v/>
      </c>
      <c r="K19" s="43">
        <f>IF(AND(INDEX(Galerias!$M$2:$M$37,MATCH(K$2,Galerias!$A$2:$A$37,0))&lt;&gt;"",$A19&gt;INDEX(Galerias!$M$2:$M$37,MATCH(K$2,Galerias!$A$2:$A$37,0))),"",ROUND(INDEX(Galerias!$N$2:$N$37,MATCH(K$2,Galerias!$A$2:$A$37,0))*INDEX(Galerias!$O$2:$O$37,MATCH(K$2,Galerias!$A$2:$A$37,0))^($A19-1),0))</f>
        <v/>
      </c>
      <c r="L19" s="43">
        <f>IF(AND(INDEX(Galerias!$M$2:$M$37,MATCH(L$2,Galerias!$A$2:$A$37,0))&lt;&gt;"",$A19&gt;INDEX(Galerias!$M$2:$M$37,MATCH(L$2,Galerias!$A$2:$A$37,0))),"",ROUND(INDEX(Galerias!$N$2:$N$37,MATCH(L$2,Galerias!$A$2:$A$37,0))*INDEX(Galerias!$O$2:$O$37,MATCH(L$2,Galerias!$A$2:$A$37,0))^($A19-1),0))</f>
        <v/>
      </c>
      <c r="M19" s="43">
        <f>IF(AND(INDEX(Galerias!$M$2:$M$37,MATCH(M$2,Galerias!$A$2:$A$37,0))&lt;&gt;"",$A19&gt;INDEX(Galerias!$M$2:$M$37,MATCH(M$2,Galerias!$A$2:$A$37,0))),"",ROUND(INDEX(Galerias!$N$2:$N$37,MATCH(M$2,Galerias!$A$2:$A$37,0))*INDEX(Galerias!$O$2:$O$37,MATCH(M$2,Galerias!$A$2:$A$37,0))^($A19-1),0))</f>
        <v/>
      </c>
      <c r="N19" s="43">
        <f>IF(AND(INDEX(Galerias!$M$2:$M$37,MATCH(N$2,Galerias!$A$2:$A$37,0))&lt;&gt;"",$A19&gt;INDEX(Galerias!$M$2:$M$37,MATCH(N$2,Galerias!$A$2:$A$37,0))),"",ROUND(INDEX(Galerias!$N$2:$N$37,MATCH(N$2,Galerias!$A$2:$A$37,0))*INDEX(Galerias!$O$2:$O$37,MATCH(N$2,Galerias!$A$2:$A$37,0))^($A19-1),0))</f>
        <v/>
      </c>
      <c r="O19" s="43">
        <f>IF(AND(INDEX(Galerias!$M$2:$M$37,MATCH(O$2,Galerias!$A$2:$A$37,0))&lt;&gt;"",$A19&gt;INDEX(Galerias!$M$2:$M$37,MATCH(O$2,Galerias!$A$2:$A$37,0))),"",ROUND(INDEX(Galerias!$N$2:$N$37,MATCH(O$2,Galerias!$A$2:$A$37,0))*INDEX(Galerias!$O$2:$O$37,MATCH(O$2,Galerias!$A$2:$A$37,0))^($A19-1),0))</f>
        <v/>
      </c>
      <c r="P19" s="43">
        <f>IF(AND(INDEX(Galerias!$M$2:$M$37,MATCH(P$2,Galerias!$A$2:$A$37,0))&lt;&gt;"",$A19&gt;INDEX(Galerias!$M$2:$M$37,MATCH(P$2,Galerias!$A$2:$A$37,0))),"",ROUND(INDEX(Galerias!$N$2:$N$37,MATCH(P$2,Galerias!$A$2:$A$37,0))*INDEX(Galerias!$O$2:$O$37,MATCH(P$2,Galerias!$A$2:$A$37,0))^($A19-1),0))</f>
        <v/>
      </c>
      <c r="Q19" s="43">
        <f>IF(AND(INDEX(Galerias!$M$2:$M$37,MATCH(Q$2,Galerias!$A$2:$A$37,0))&lt;&gt;"",$A19&gt;INDEX(Galerias!$M$2:$M$37,MATCH(Q$2,Galerias!$A$2:$A$37,0))),"",ROUND(INDEX(Galerias!$N$2:$N$37,MATCH(Q$2,Galerias!$A$2:$A$37,0))*INDEX(Galerias!$O$2:$O$37,MATCH(Q$2,Galerias!$A$2:$A$37,0))^($A19-1),0))</f>
        <v/>
      </c>
      <c r="R19" s="43">
        <f>IF(AND(INDEX(Galerias!$M$2:$M$37,MATCH(R$2,Galerias!$A$2:$A$37,0))&lt;&gt;"",$A19&gt;INDEX(Galerias!$M$2:$M$37,MATCH(R$2,Galerias!$A$2:$A$37,0))),"",ROUND(INDEX(Galerias!$N$2:$N$37,MATCH(R$2,Galerias!$A$2:$A$37,0))*INDEX(Galerias!$O$2:$O$37,MATCH(R$2,Galerias!$A$2:$A$37,0))^($A19-1),0))</f>
        <v/>
      </c>
      <c r="S19" s="43">
        <f>IF(AND(INDEX(Galerias!$M$2:$M$37,MATCH(S$2,Galerias!$A$2:$A$37,0))&lt;&gt;"",$A19&gt;INDEX(Galerias!$M$2:$M$37,MATCH(S$2,Galerias!$A$2:$A$37,0))),"",ROUND(INDEX(Galerias!$N$2:$N$37,MATCH(S$2,Galerias!$A$2:$A$37,0))*INDEX(Galerias!$O$2:$O$37,MATCH(S$2,Galerias!$A$2:$A$37,0))^($A19-1),0))</f>
        <v/>
      </c>
      <c r="T19" s="43">
        <f>IF(AND(INDEX(Galerias!$M$2:$M$37,MATCH(T$2,Galerias!$A$2:$A$37,0))&lt;&gt;"",$A19&gt;INDEX(Galerias!$M$2:$M$37,MATCH(T$2,Galerias!$A$2:$A$37,0))),"",ROUND(INDEX(Galerias!$N$2:$N$37,MATCH(T$2,Galerias!$A$2:$A$37,0))*INDEX(Galerias!$O$2:$O$37,MATCH(T$2,Galerias!$A$2:$A$37,0))^($A19-1),0))</f>
        <v/>
      </c>
      <c r="U19" s="43">
        <f>IF(AND(INDEX(Galerias!$M$2:$M$37,MATCH(U$2,Galerias!$A$2:$A$37,0))&lt;&gt;"",$A19&gt;INDEX(Galerias!$M$2:$M$37,MATCH(U$2,Galerias!$A$2:$A$37,0))),"",ROUND(INDEX(Galerias!$N$2:$N$37,MATCH(U$2,Galerias!$A$2:$A$37,0))*INDEX(Galerias!$O$2:$O$37,MATCH(U$2,Galerias!$A$2:$A$37,0))^($A19-1),0))</f>
        <v/>
      </c>
      <c r="V19" s="43">
        <f>IF(AND(INDEX(Galerias!$M$2:$M$37,MATCH(V$2,Galerias!$A$2:$A$37,0))&lt;&gt;"",$A19&gt;INDEX(Galerias!$M$2:$M$37,MATCH(V$2,Galerias!$A$2:$A$37,0))),"",ROUND(INDEX(Galerias!$N$2:$N$37,MATCH(V$2,Galerias!$A$2:$A$37,0))*INDEX(Galerias!$O$2:$O$37,MATCH(V$2,Galerias!$A$2:$A$37,0))^($A19-1),0))</f>
        <v/>
      </c>
      <c r="W19" s="43">
        <f>IF(AND(INDEX(Galerias!$M$2:$M$37,MATCH(W$2,Galerias!$A$2:$A$37,0))&lt;&gt;"",$A19&gt;INDEX(Galerias!$M$2:$M$37,MATCH(W$2,Galerias!$A$2:$A$37,0))),"",ROUND(INDEX(Galerias!$N$2:$N$37,MATCH(W$2,Galerias!$A$2:$A$37,0))*INDEX(Galerias!$O$2:$O$37,MATCH(W$2,Galerias!$A$2:$A$37,0))^($A19-1),0))</f>
        <v/>
      </c>
      <c r="X19" s="43">
        <f>IF(AND(INDEX(Galerias!$M$2:$M$37,MATCH(X$2,Galerias!$A$2:$A$37,0))&lt;&gt;"",$A19&gt;INDEX(Galerias!$M$2:$M$37,MATCH(X$2,Galerias!$A$2:$A$37,0))),"",ROUND(INDEX(Galerias!$N$2:$N$37,MATCH(X$2,Galerias!$A$2:$A$37,0))*INDEX(Galerias!$O$2:$O$37,MATCH(X$2,Galerias!$A$2:$A$37,0))^($A19-1),0))</f>
        <v/>
      </c>
      <c r="Y19" s="43">
        <f>IF(AND(INDEX(Galerias!$M$2:$M$37,MATCH(Y$2,Galerias!$A$2:$A$37,0))&lt;&gt;"",$A19&gt;INDEX(Galerias!$M$2:$M$37,MATCH(Y$2,Galerias!$A$2:$A$37,0))),"",ROUND(INDEX(Galerias!$N$2:$N$37,MATCH(Y$2,Galerias!$A$2:$A$37,0))*INDEX(Galerias!$O$2:$O$37,MATCH(Y$2,Galerias!$A$2:$A$37,0))^($A19-1),0))</f>
        <v/>
      </c>
      <c r="Z19" s="43">
        <f>IF(AND(INDEX(Galerias!$M$2:$M$37,MATCH(Z$2,Galerias!$A$2:$A$37,0))&lt;&gt;"",$A19&gt;INDEX(Galerias!$M$2:$M$37,MATCH(Z$2,Galerias!$A$2:$A$37,0))),"",ROUND(INDEX(Galerias!$N$2:$N$37,MATCH(Z$2,Galerias!$A$2:$A$37,0))*INDEX(Galerias!$O$2:$O$37,MATCH(Z$2,Galerias!$A$2:$A$37,0))^($A19-1),0))</f>
        <v/>
      </c>
      <c r="AA19" s="43">
        <f>IF(AND(INDEX(Galerias!$M$2:$M$37,MATCH(AA$2,Galerias!$A$2:$A$37,0))&lt;&gt;"",$A19&gt;INDEX(Galerias!$M$2:$M$37,MATCH(AA$2,Galerias!$A$2:$A$37,0))),"",ROUND(INDEX(Galerias!$N$2:$N$37,MATCH(AA$2,Galerias!$A$2:$A$37,0))*INDEX(Galerias!$O$2:$O$37,MATCH(AA$2,Galerias!$A$2:$A$37,0))^($A19-1),0))</f>
        <v/>
      </c>
      <c r="AB19" s="43">
        <f>IF(AND(INDEX(Galerias!$M$2:$M$37,MATCH(AB$2,Galerias!$A$2:$A$37,0))&lt;&gt;"",$A19&gt;INDEX(Galerias!$M$2:$M$37,MATCH(AB$2,Galerias!$A$2:$A$37,0))),"",ROUND(INDEX(Galerias!$N$2:$N$37,MATCH(AB$2,Galerias!$A$2:$A$37,0))*INDEX(Galerias!$O$2:$O$37,MATCH(AB$2,Galerias!$A$2:$A$37,0))^($A19-1),0))</f>
        <v/>
      </c>
      <c r="AC19" s="43">
        <f>IF(AND(INDEX(Galerias!$M$2:$M$37,MATCH(AC$2,Galerias!$A$2:$A$37,0))&lt;&gt;"",$A19&gt;INDEX(Galerias!$M$2:$M$37,MATCH(AC$2,Galerias!$A$2:$A$37,0))),"",ROUND(INDEX(Galerias!$N$2:$N$37,MATCH(AC$2,Galerias!$A$2:$A$37,0))*INDEX(Galerias!$O$2:$O$37,MATCH(AC$2,Galerias!$A$2:$A$37,0))^($A19-1),0))</f>
        <v/>
      </c>
      <c r="AD19" s="43">
        <f>IF(AND(INDEX(Galerias!$M$2:$M$37,MATCH(AD$2,Galerias!$A$2:$A$37,0))&lt;&gt;"",$A19&gt;INDEX(Galerias!$M$2:$M$37,MATCH(AD$2,Galerias!$A$2:$A$37,0))),"",ROUND(INDEX(Galerias!$N$2:$N$37,MATCH(AD$2,Galerias!$A$2:$A$37,0))*INDEX(Galerias!$O$2:$O$37,MATCH(AD$2,Galerias!$A$2:$A$37,0))^($A19-1),0))</f>
        <v/>
      </c>
      <c r="AE19" s="43">
        <f>IF(AND(INDEX(Galerias!$M$2:$M$37,MATCH(AE$2,Galerias!$A$2:$A$37,0))&lt;&gt;"",$A19&gt;INDEX(Galerias!$M$2:$M$37,MATCH(AE$2,Galerias!$A$2:$A$37,0))),"",ROUND(INDEX(Galerias!$N$2:$N$37,MATCH(AE$2,Galerias!$A$2:$A$37,0))*INDEX(Galerias!$O$2:$O$37,MATCH(AE$2,Galerias!$A$2:$A$37,0))^($A19-1),0))</f>
        <v/>
      </c>
      <c r="AF19" s="43">
        <f>IF(AND(INDEX(Galerias!$M$2:$M$37,MATCH(AF$2,Galerias!$A$2:$A$37,0))&lt;&gt;"",$A19&gt;INDEX(Galerias!$M$2:$M$37,MATCH(AF$2,Galerias!$A$2:$A$37,0))),"",ROUND(INDEX(Galerias!$N$2:$N$37,MATCH(AF$2,Galerias!$A$2:$A$37,0))*INDEX(Galerias!$O$2:$O$37,MATCH(AF$2,Galerias!$A$2:$A$37,0))^($A19-1),0))</f>
        <v/>
      </c>
      <c r="AG19" s="43">
        <f>IF(AND(INDEX(Galerias!$M$2:$M$37,MATCH(AG$2,Galerias!$A$2:$A$37,0))&lt;&gt;"",$A19&gt;INDEX(Galerias!$M$2:$M$37,MATCH(AG$2,Galerias!$A$2:$A$37,0))),"",ROUND(INDEX(Galerias!$N$2:$N$37,MATCH(AG$2,Galerias!$A$2:$A$37,0))*INDEX(Galerias!$O$2:$O$37,MATCH(AG$2,Galerias!$A$2:$A$37,0))^($A19-1),0))</f>
        <v/>
      </c>
      <c r="AH19" s="43">
        <f>IF(AND(INDEX(Galerias!$M$2:$M$37,MATCH(AH$2,Galerias!$A$2:$A$37,0))&lt;&gt;"",$A19&gt;INDEX(Galerias!$M$2:$M$37,MATCH(AH$2,Galerias!$A$2:$A$37,0))),"",ROUND(INDEX(Galerias!$N$2:$N$37,MATCH(AH$2,Galerias!$A$2:$A$37,0))*INDEX(Galerias!$O$2:$O$37,MATCH(AH$2,Galerias!$A$2:$A$37,0))^($A19-1),0))</f>
        <v/>
      </c>
      <c r="AI19" s="43">
        <f>IF(AND(INDEX(Galerias!$M$2:$M$37,MATCH(AI$2,Galerias!$A$2:$A$37,0))&lt;&gt;"",$A19&gt;INDEX(Galerias!$M$2:$M$37,MATCH(AI$2,Galerias!$A$2:$A$37,0))),"",ROUND(INDEX(Galerias!$N$2:$N$37,MATCH(AI$2,Galerias!$A$2:$A$37,0))*INDEX(Galerias!$O$2:$O$37,MATCH(AI$2,Galerias!$A$2:$A$37,0))^($A19-1),0))</f>
        <v/>
      </c>
      <c r="AJ19" s="43">
        <f>IF(AND(INDEX(Galerias!$M$2:$M$37,MATCH(AJ$2,Galerias!$A$2:$A$37,0))&lt;&gt;"",$A19&gt;INDEX(Galerias!$M$2:$M$37,MATCH(AJ$2,Galerias!$A$2:$A$37,0))),"",ROUND(INDEX(Galerias!$N$2:$N$37,MATCH(AJ$2,Galerias!$A$2:$A$37,0))*INDEX(Galerias!$O$2:$O$37,MATCH(AJ$2,Galerias!$A$2:$A$37,0))^($A19-1),0))</f>
        <v/>
      </c>
      <c r="AK19" s="43">
        <f>IF(AND(INDEX(Galerias!$M$2:$M$37,MATCH(AK$2,Galerias!$A$2:$A$37,0))&lt;&gt;"",$A19&gt;INDEX(Galerias!$M$2:$M$37,MATCH(AK$2,Galerias!$A$2:$A$37,0))),"",ROUND(INDEX(Galerias!$N$2:$N$37,MATCH(AK$2,Galerias!$A$2:$A$37,0))*INDEX(Galerias!$O$2:$O$37,MATCH(AK$2,Galerias!$A$2:$A$37,0))^($A19-1),0))</f>
        <v/>
      </c>
    </row>
    <row r="20" ht="15" customHeight="1" s="23">
      <c r="A20" s="25" t="n">
        <v>18</v>
      </c>
      <c r="B20" s="43">
        <f>IF(AND(INDEX(Galerias!$M$2:$M$37,MATCH(B$2,Galerias!$A$2:$A$37,0))&lt;&gt;"",$A20&gt;INDEX(Galerias!$M$2:$M$37,MATCH(B$2,Galerias!$A$2:$A$37,0))),"",ROUND(INDEX(Galerias!$N$2:$N$37,MATCH(B$2,Galerias!$A$2:$A$37,0))*INDEX(Galerias!$O$2:$O$37,MATCH(B$2,Galerias!$A$2:$A$37,0))^($A20-1),0))</f>
        <v/>
      </c>
      <c r="C20" s="43">
        <f>IF(AND(INDEX(Galerias!$M$2:$M$37,MATCH(C$2,Galerias!$A$2:$A$37,0))&lt;&gt;"",$A20&gt;INDEX(Galerias!$M$2:$M$37,MATCH(C$2,Galerias!$A$2:$A$37,0))),"",ROUND(INDEX(Galerias!$N$2:$N$37,MATCH(C$2,Galerias!$A$2:$A$37,0))*INDEX(Galerias!$O$2:$O$37,MATCH(C$2,Galerias!$A$2:$A$37,0))^($A20-1),0))</f>
        <v/>
      </c>
      <c r="D20" s="43">
        <f>IF(AND(INDEX(Galerias!$M$2:$M$37,MATCH(D$2,Galerias!$A$2:$A$37,0))&lt;&gt;"",$A20&gt;INDEX(Galerias!$M$2:$M$37,MATCH(D$2,Galerias!$A$2:$A$37,0))),"",ROUND(INDEX(Galerias!$N$2:$N$37,MATCH(D$2,Galerias!$A$2:$A$37,0))*INDEX(Galerias!$O$2:$O$37,MATCH(D$2,Galerias!$A$2:$A$37,0))^($A20-1),0))</f>
        <v/>
      </c>
      <c r="E20" s="43">
        <f>IF(AND(INDEX(Galerias!$M$2:$M$37,MATCH(E$2,Galerias!$A$2:$A$37,0))&lt;&gt;"",$A20&gt;INDEX(Galerias!$M$2:$M$37,MATCH(E$2,Galerias!$A$2:$A$37,0))),"",ROUND(INDEX(Galerias!$N$2:$N$37,MATCH(E$2,Galerias!$A$2:$A$37,0))*INDEX(Galerias!$O$2:$O$37,MATCH(E$2,Galerias!$A$2:$A$37,0))^($A20-1),0))</f>
        <v/>
      </c>
      <c r="F20" s="43">
        <f>IF(AND(INDEX(Galerias!$M$2:$M$37,MATCH(F$2,Galerias!$A$2:$A$37,0))&lt;&gt;"",$A20&gt;INDEX(Galerias!$M$2:$M$37,MATCH(F$2,Galerias!$A$2:$A$37,0))),"",ROUND(INDEX(Galerias!$N$2:$N$37,MATCH(F$2,Galerias!$A$2:$A$37,0))*INDEX(Galerias!$O$2:$O$37,MATCH(F$2,Galerias!$A$2:$A$37,0))^($A20-1),0))</f>
        <v/>
      </c>
      <c r="G20" s="43">
        <f>IF(AND(INDEX(Galerias!$M$2:$M$37,MATCH(G$2,Galerias!$A$2:$A$37,0))&lt;&gt;"",$A20&gt;INDEX(Galerias!$M$2:$M$37,MATCH(G$2,Galerias!$A$2:$A$37,0))),"",ROUND(INDEX(Galerias!$N$2:$N$37,MATCH(G$2,Galerias!$A$2:$A$37,0))*INDEX(Galerias!$O$2:$O$37,MATCH(G$2,Galerias!$A$2:$A$37,0))^($A20-1),0))</f>
        <v/>
      </c>
      <c r="H20" s="43">
        <f>IF(AND(INDEX(Galerias!$M$2:$M$37,MATCH(H$2,Galerias!$A$2:$A$37,0))&lt;&gt;"",$A20&gt;INDEX(Galerias!$M$2:$M$37,MATCH(H$2,Galerias!$A$2:$A$37,0))),"",ROUND(INDEX(Galerias!$N$2:$N$37,MATCH(H$2,Galerias!$A$2:$A$37,0))*INDEX(Galerias!$O$2:$O$37,MATCH(H$2,Galerias!$A$2:$A$37,0))^($A20-1),0))</f>
        <v/>
      </c>
      <c r="I20" s="43">
        <f>IF(AND(INDEX(Galerias!$M$2:$M$37,MATCH(I$2,Galerias!$A$2:$A$37,0))&lt;&gt;"",$A20&gt;INDEX(Galerias!$M$2:$M$37,MATCH(I$2,Galerias!$A$2:$A$37,0))),"",ROUND(INDEX(Galerias!$N$2:$N$37,MATCH(I$2,Galerias!$A$2:$A$37,0))*INDEX(Galerias!$O$2:$O$37,MATCH(I$2,Galerias!$A$2:$A$37,0))^($A20-1),0))</f>
        <v/>
      </c>
      <c r="J20" s="43">
        <f>IF(AND(INDEX(Galerias!$M$2:$M$37,MATCH(J$2,Galerias!$A$2:$A$37,0))&lt;&gt;"",$A20&gt;INDEX(Galerias!$M$2:$M$37,MATCH(J$2,Galerias!$A$2:$A$37,0))),"",ROUND(INDEX(Galerias!$N$2:$N$37,MATCH(J$2,Galerias!$A$2:$A$37,0))*INDEX(Galerias!$O$2:$O$37,MATCH(J$2,Galerias!$A$2:$A$37,0))^($A20-1),0))</f>
        <v/>
      </c>
      <c r="K20" s="43">
        <f>IF(AND(INDEX(Galerias!$M$2:$M$37,MATCH(K$2,Galerias!$A$2:$A$37,0))&lt;&gt;"",$A20&gt;INDEX(Galerias!$M$2:$M$37,MATCH(K$2,Galerias!$A$2:$A$37,0))),"",ROUND(INDEX(Galerias!$N$2:$N$37,MATCH(K$2,Galerias!$A$2:$A$37,0))*INDEX(Galerias!$O$2:$O$37,MATCH(K$2,Galerias!$A$2:$A$37,0))^($A20-1),0))</f>
        <v/>
      </c>
      <c r="L20" s="43">
        <f>IF(AND(INDEX(Galerias!$M$2:$M$37,MATCH(L$2,Galerias!$A$2:$A$37,0))&lt;&gt;"",$A20&gt;INDEX(Galerias!$M$2:$M$37,MATCH(L$2,Galerias!$A$2:$A$37,0))),"",ROUND(INDEX(Galerias!$N$2:$N$37,MATCH(L$2,Galerias!$A$2:$A$37,0))*INDEX(Galerias!$O$2:$O$37,MATCH(L$2,Galerias!$A$2:$A$37,0))^($A20-1),0))</f>
        <v/>
      </c>
      <c r="M20" s="43">
        <f>IF(AND(INDEX(Galerias!$M$2:$M$37,MATCH(M$2,Galerias!$A$2:$A$37,0))&lt;&gt;"",$A20&gt;INDEX(Galerias!$M$2:$M$37,MATCH(M$2,Galerias!$A$2:$A$37,0))),"",ROUND(INDEX(Galerias!$N$2:$N$37,MATCH(M$2,Galerias!$A$2:$A$37,0))*INDEX(Galerias!$O$2:$O$37,MATCH(M$2,Galerias!$A$2:$A$37,0))^($A20-1),0))</f>
        <v/>
      </c>
      <c r="N20" s="43">
        <f>IF(AND(INDEX(Galerias!$M$2:$M$37,MATCH(N$2,Galerias!$A$2:$A$37,0))&lt;&gt;"",$A20&gt;INDEX(Galerias!$M$2:$M$37,MATCH(N$2,Galerias!$A$2:$A$37,0))),"",ROUND(INDEX(Galerias!$N$2:$N$37,MATCH(N$2,Galerias!$A$2:$A$37,0))*INDEX(Galerias!$O$2:$O$37,MATCH(N$2,Galerias!$A$2:$A$37,0))^($A20-1),0))</f>
        <v/>
      </c>
      <c r="O20" s="43">
        <f>IF(AND(INDEX(Galerias!$M$2:$M$37,MATCH(O$2,Galerias!$A$2:$A$37,0))&lt;&gt;"",$A20&gt;INDEX(Galerias!$M$2:$M$37,MATCH(O$2,Galerias!$A$2:$A$37,0))),"",ROUND(INDEX(Galerias!$N$2:$N$37,MATCH(O$2,Galerias!$A$2:$A$37,0))*INDEX(Galerias!$O$2:$O$37,MATCH(O$2,Galerias!$A$2:$A$37,0))^($A20-1),0))</f>
        <v/>
      </c>
      <c r="P20" s="43">
        <f>IF(AND(INDEX(Galerias!$M$2:$M$37,MATCH(P$2,Galerias!$A$2:$A$37,0))&lt;&gt;"",$A20&gt;INDEX(Galerias!$M$2:$M$37,MATCH(P$2,Galerias!$A$2:$A$37,0))),"",ROUND(INDEX(Galerias!$N$2:$N$37,MATCH(P$2,Galerias!$A$2:$A$37,0))*INDEX(Galerias!$O$2:$O$37,MATCH(P$2,Galerias!$A$2:$A$37,0))^($A20-1),0))</f>
        <v/>
      </c>
      <c r="Q20" s="43">
        <f>IF(AND(INDEX(Galerias!$M$2:$M$37,MATCH(Q$2,Galerias!$A$2:$A$37,0))&lt;&gt;"",$A20&gt;INDEX(Galerias!$M$2:$M$37,MATCH(Q$2,Galerias!$A$2:$A$37,0))),"",ROUND(INDEX(Galerias!$N$2:$N$37,MATCH(Q$2,Galerias!$A$2:$A$37,0))*INDEX(Galerias!$O$2:$O$37,MATCH(Q$2,Galerias!$A$2:$A$37,0))^($A20-1),0))</f>
        <v/>
      </c>
      <c r="R20" s="43">
        <f>IF(AND(INDEX(Galerias!$M$2:$M$37,MATCH(R$2,Galerias!$A$2:$A$37,0))&lt;&gt;"",$A20&gt;INDEX(Galerias!$M$2:$M$37,MATCH(R$2,Galerias!$A$2:$A$37,0))),"",ROUND(INDEX(Galerias!$N$2:$N$37,MATCH(R$2,Galerias!$A$2:$A$37,0))*INDEX(Galerias!$O$2:$O$37,MATCH(R$2,Galerias!$A$2:$A$37,0))^($A20-1),0))</f>
        <v/>
      </c>
      <c r="S20" s="43">
        <f>IF(AND(INDEX(Galerias!$M$2:$M$37,MATCH(S$2,Galerias!$A$2:$A$37,0))&lt;&gt;"",$A20&gt;INDEX(Galerias!$M$2:$M$37,MATCH(S$2,Galerias!$A$2:$A$37,0))),"",ROUND(INDEX(Galerias!$N$2:$N$37,MATCH(S$2,Galerias!$A$2:$A$37,0))*INDEX(Galerias!$O$2:$O$37,MATCH(S$2,Galerias!$A$2:$A$37,0))^($A20-1),0))</f>
        <v/>
      </c>
      <c r="T20" s="43">
        <f>IF(AND(INDEX(Galerias!$M$2:$M$37,MATCH(T$2,Galerias!$A$2:$A$37,0))&lt;&gt;"",$A20&gt;INDEX(Galerias!$M$2:$M$37,MATCH(T$2,Galerias!$A$2:$A$37,0))),"",ROUND(INDEX(Galerias!$N$2:$N$37,MATCH(T$2,Galerias!$A$2:$A$37,0))*INDEX(Galerias!$O$2:$O$37,MATCH(T$2,Galerias!$A$2:$A$37,0))^($A20-1),0))</f>
        <v/>
      </c>
      <c r="U20" s="43">
        <f>IF(AND(INDEX(Galerias!$M$2:$M$37,MATCH(U$2,Galerias!$A$2:$A$37,0))&lt;&gt;"",$A20&gt;INDEX(Galerias!$M$2:$M$37,MATCH(U$2,Galerias!$A$2:$A$37,0))),"",ROUND(INDEX(Galerias!$N$2:$N$37,MATCH(U$2,Galerias!$A$2:$A$37,0))*INDEX(Galerias!$O$2:$O$37,MATCH(U$2,Galerias!$A$2:$A$37,0))^($A20-1),0))</f>
        <v/>
      </c>
      <c r="V20" s="43">
        <f>IF(AND(INDEX(Galerias!$M$2:$M$37,MATCH(V$2,Galerias!$A$2:$A$37,0))&lt;&gt;"",$A20&gt;INDEX(Galerias!$M$2:$M$37,MATCH(V$2,Galerias!$A$2:$A$37,0))),"",ROUND(INDEX(Galerias!$N$2:$N$37,MATCH(V$2,Galerias!$A$2:$A$37,0))*INDEX(Galerias!$O$2:$O$37,MATCH(V$2,Galerias!$A$2:$A$37,0))^($A20-1),0))</f>
        <v/>
      </c>
      <c r="W20" s="43">
        <f>IF(AND(INDEX(Galerias!$M$2:$M$37,MATCH(W$2,Galerias!$A$2:$A$37,0))&lt;&gt;"",$A20&gt;INDEX(Galerias!$M$2:$M$37,MATCH(W$2,Galerias!$A$2:$A$37,0))),"",ROUND(INDEX(Galerias!$N$2:$N$37,MATCH(W$2,Galerias!$A$2:$A$37,0))*INDEX(Galerias!$O$2:$O$37,MATCH(W$2,Galerias!$A$2:$A$37,0))^($A20-1),0))</f>
        <v/>
      </c>
      <c r="X20" s="43">
        <f>IF(AND(INDEX(Galerias!$M$2:$M$37,MATCH(X$2,Galerias!$A$2:$A$37,0))&lt;&gt;"",$A20&gt;INDEX(Galerias!$M$2:$M$37,MATCH(X$2,Galerias!$A$2:$A$37,0))),"",ROUND(INDEX(Galerias!$N$2:$N$37,MATCH(X$2,Galerias!$A$2:$A$37,0))*INDEX(Galerias!$O$2:$O$37,MATCH(X$2,Galerias!$A$2:$A$37,0))^($A20-1),0))</f>
        <v/>
      </c>
      <c r="Y20" s="43">
        <f>IF(AND(INDEX(Galerias!$M$2:$M$37,MATCH(Y$2,Galerias!$A$2:$A$37,0))&lt;&gt;"",$A20&gt;INDEX(Galerias!$M$2:$M$37,MATCH(Y$2,Galerias!$A$2:$A$37,0))),"",ROUND(INDEX(Galerias!$N$2:$N$37,MATCH(Y$2,Galerias!$A$2:$A$37,0))*INDEX(Galerias!$O$2:$O$37,MATCH(Y$2,Galerias!$A$2:$A$37,0))^($A20-1),0))</f>
        <v/>
      </c>
      <c r="Z20" s="43">
        <f>IF(AND(INDEX(Galerias!$M$2:$M$37,MATCH(Z$2,Galerias!$A$2:$A$37,0))&lt;&gt;"",$A20&gt;INDEX(Galerias!$M$2:$M$37,MATCH(Z$2,Galerias!$A$2:$A$37,0))),"",ROUND(INDEX(Galerias!$N$2:$N$37,MATCH(Z$2,Galerias!$A$2:$A$37,0))*INDEX(Galerias!$O$2:$O$37,MATCH(Z$2,Galerias!$A$2:$A$37,0))^($A20-1),0))</f>
        <v/>
      </c>
      <c r="AA20" s="43">
        <f>IF(AND(INDEX(Galerias!$M$2:$M$37,MATCH(AA$2,Galerias!$A$2:$A$37,0))&lt;&gt;"",$A20&gt;INDEX(Galerias!$M$2:$M$37,MATCH(AA$2,Galerias!$A$2:$A$37,0))),"",ROUND(INDEX(Galerias!$N$2:$N$37,MATCH(AA$2,Galerias!$A$2:$A$37,0))*INDEX(Galerias!$O$2:$O$37,MATCH(AA$2,Galerias!$A$2:$A$37,0))^($A20-1),0))</f>
        <v/>
      </c>
      <c r="AB20" s="43">
        <f>IF(AND(INDEX(Galerias!$M$2:$M$37,MATCH(AB$2,Galerias!$A$2:$A$37,0))&lt;&gt;"",$A20&gt;INDEX(Galerias!$M$2:$M$37,MATCH(AB$2,Galerias!$A$2:$A$37,0))),"",ROUND(INDEX(Galerias!$N$2:$N$37,MATCH(AB$2,Galerias!$A$2:$A$37,0))*INDEX(Galerias!$O$2:$O$37,MATCH(AB$2,Galerias!$A$2:$A$37,0))^($A20-1),0))</f>
        <v/>
      </c>
      <c r="AC20" s="43">
        <f>IF(AND(INDEX(Galerias!$M$2:$M$37,MATCH(AC$2,Galerias!$A$2:$A$37,0))&lt;&gt;"",$A20&gt;INDEX(Galerias!$M$2:$M$37,MATCH(AC$2,Galerias!$A$2:$A$37,0))),"",ROUND(INDEX(Galerias!$N$2:$N$37,MATCH(AC$2,Galerias!$A$2:$A$37,0))*INDEX(Galerias!$O$2:$O$37,MATCH(AC$2,Galerias!$A$2:$A$37,0))^($A20-1),0))</f>
        <v/>
      </c>
      <c r="AD20" s="43">
        <f>IF(AND(INDEX(Galerias!$M$2:$M$37,MATCH(AD$2,Galerias!$A$2:$A$37,0))&lt;&gt;"",$A20&gt;INDEX(Galerias!$M$2:$M$37,MATCH(AD$2,Galerias!$A$2:$A$37,0))),"",ROUND(INDEX(Galerias!$N$2:$N$37,MATCH(AD$2,Galerias!$A$2:$A$37,0))*INDEX(Galerias!$O$2:$O$37,MATCH(AD$2,Galerias!$A$2:$A$37,0))^($A20-1),0))</f>
        <v/>
      </c>
      <c r="AE20" s="43">
        <f>IF(AND(INDEX(Galerias!$M$2:$M$37,MATCH(AE$2,Galerias!$A$2:$A$37,0))&lt;&gt;"",$A20&gt;INDEX(Galerias!$M$2:$M$37,MATCH(AE$2,Galerias!$A$2:$A$37,0))),"",ROUND(INDEX(Galerias!$N$2:$N$37,MATCH(AE$2,Galerias!$A$2:$A$37,0))*INDEX(Galerias!$O$2:$O$37,MATCH(AE$2,Galerias!$A$2:$A$37,0))^($A20-1),0))</f>
        <v/>
      </c>
      <c r="AF20" s="43">
        <f>IF(AND(INDEX(Galerias!$M$2:$M$37,MATCH(AF$2,Galerias!$A$2:$A$37,0))&lt;&gt;"",$A20&gt;INDEX(Galerias!$M$2:$M$37,MATCH(AF$2,Galerias!$A$2:$A$37,0))),"",ROUND(INDEX(Galerias!$N$2:$N$37,MATCH(AF$2,Galerias!$A$2:$A$37,0))*INDEX(Galerias!$O$2:$O$37,MATCH(AF$2,Galerias!$A$2:$A$37,0))^($A20-1),0))</f>
        <v/>
      </c>
      <c r="AG20" s="43">
        <f>IF(AND(INDEX(Galerias!$M$2:$M$37,MATCH(AG$2,Galerias!$A$2:$A$37,0))&lt;&gt;"",$A20&gt;INDEX(Galerias!$M$2:$M$37,MATCH(AG$2,Galerias!$A$2:$A$37,0))),"",ROUND(INDEX(Galerias!$N$2:$N$37,MATCH(AG$2,Galerias!$A$2:$A$37,0))*INDEX(Galerias!$O$2:$O$37,MATCH(AG$2,Galerias!$A$2:$A$37,0))^($A20-1),0))</f>
        <v/>
      </c>
      <c r="AH20" s="43">
        <f>IF(AND(INDEX(Galerias!$M$2:$M$37,MATCH(AH$2,Galerias!$A$2:$A$37,0))&lt;&gt;"",$A20&gt;INDEX(Galerias!$M$2:$M$37,MATCH(AH$2,Galerias!$A$2:$A$37,0))),"",ROUND(INDEX(Galerias!$N$2:$N$37,MATCH(AH$2,Galerias!$A$2:$A$37,0))*INDEX(Galerias!$O$2:$O$37,MATCH(AH$2,Galerias!$A$2:$A$37,0))^($A20-1),0))</f>
        <v/>
      </c>
      <c r="AI20" s="43">
        <f>IF(AND(INDEX(Galerias!$M$2:$M$37,MATCH(AI$2,Galerias!$A$2:$A$37,0))&lt;&gt;"",$A20&gt;INDEX(Galerias!$M$2:$M$37,MATCH(AI$2,Galerias!$A$2:$A$37,0))),"",ROUND(INDEX(Galerias!$N$2:$N$37,MATCH(AI$2,Galerias!$A$2:$A$37,0))*INDEX(Galerias!$O$2:$O$37,MATCH(AI$2,Galerias!$A$2:$A$37,0))^($A20-1),0))</f>
        <v/>
      </c>
      <c r="AJ20" s="43">
        <f>IF(AND(INDEX(Galerias!$M$2:$M$37,MATCH(AJ$2,Galerias!$A$2:$A$37,0))&lt;&gt;"",$A20&gt;INDEX(Galerias!$M$2:$M$37,MATCH(AJ$2,Galerias!$A$2:$A$37,0))),"",ROUND(INDEX(Galerias!$N$2:$N$37,MATCH(AJ$2,Galerias!$A$2:$A$37,0))*INDEX(Galerias!$O$2:$O$37,MATCH(AJ$2,Galerias!$A$2:$A$37,0))^($A20-1),0))</f>
        <v/>
      </c>
      <c r="AK20" s="43">
        <f>IF(AND(INDEX(Galerias!$M$2:$M$37,MATCH(AK$2,Galerias!$A$2:$A$37,0))&lt;&gt;"",$A20&gt;INDEX(Galerias!$M$2:$M$37,MATCH(AK$2,Galerias!$A$2:$A$37,0))),"",ROUND(INDEX(Galerias!$N$2:$N$37,MATCH(AK$2,Galerias!$A$2:$A$37,0))*INDEX(Galerias!$O$2:$O$37,MATCH(AK$2,Galerias!$A$2:$A$37,0))^($A20-1),0))</f>
        <v/>
      </c>
    </row>
    <row r="21" ht="15" customHeight="1" s="23">
      <c r="A21" s="25" t="n">
        <v>19</v>
      </c>
      <c r="B21" s="43">
        <f>IF(AND(INDEX(Galerias!$M$2:$M$37,MATCH(B$2,Galerias!$A$2:$A$37,0))&lt;&gt;"",$A21&gt;INDEX(Galerias!$M$2:$M$37,MATCH(B$2,Galerias!$A$2:$A$37,0))),"",ROUND(INDEX(Galerias!$N$2:$N$37,MATCH(B$2,Galerias!$A$2:$A$37,0))*INDEX(Galerias!$O$2:$O$37,MATCH(B$2,Galerias!$A$2:$A$37,0))^($A21-1),0))</f>
        <v/>
      </c>
      <c r="C21" s="43">
        <f>IF(AND(INDEX(Galerias!$M$2:$M$37,MATCH(C$2,Galerias!$A$2:$A$37,0))&lt;&gt;"",$A21&gt;INDEX(Galerias!$M$2:$M$37,MATCH(C$2,Galerias!$A$2:$A$37,0))),"",ROUND(INDEX(Galerias!$N$2:$N$37,MATCH(C$2,Galerias!$A$2:$A$37,0))*INDEX(Galerias!$O$2:$O$37,MATCH(C$2,Galerias!$A$2:$A$37,0))^($A21-1),0))</f>
        <v/>
      </c>
      <c r="D21" s="43">
        <f>IF(AND(INDEX(Galerias!$M$2:$M$37,MATCH(D$2,Galerias!$A$2:$A$37,0))&lt;&gt;"",$A21&gt;INDEX(Galerias!$M$2:$M$37,MATCH(D$2,Galerias!$A$2:$A$37,0))),"",ROUND(INDEX(Galerias!$N$2:$N$37,MATCH(D$2,Galerias!$A$2:$A$37,0))*INDEX(Galerias!$O$2:$O$37,MATCH(D$2,Galerias!$A$2:$A$37,0))^($A21-1),0))</f>
        <v/>
      </c>
      <c r="E21" s="43">
        <f>IF(AND(INDEX(Galerias!$M$2:$M$37,MATCH(E$2,Galerias!$A$2:$A$37,0))&lt;&gt;"",$A21&gt;INDEX(Galerias!$M$2:$M$37,MATCH(E$2,Galerias!$A$2:$A$37,0))),"",ROUND(INDEX(Galerias!$N$2:$N$37,MATCH(E$2,Galerias!$A$2:$A$37,0))*INDEX(Galerias!$O$2:$O$37,MATCH(E$2,Galerias!$A$2:$A$37,0))^($A21-1),0))</f>
        <v/>
      </c>
      <c r="F21" s="43">
        <f>IF(AND(INDEX(Galerias!$M$2:$M$37,MATCH(F$2,Galerias!$A$2:$A$37,0))&lt;&gt;"",$A21&gt;INDEX(Galerias!$M$2:$M$37,MATCH(F$2,Galerias!$A$2:$A$37,0))),"",ROUND(INDEX(Galerias!$N$2:$N$37,MATCH(F$2,Galerias!$A$2:$A$37,0))*INDEX(Galerias!$O$2:$O$37,MATCH(F$2,Galerias!$A$2:$A$37,0))^($A21-1),0))</f>
        <v/>
      </c>
      <c r="G21" s="43">
        <f>IF(AND(INDEX(Galerias!$M$2:$M$37,MATCH(G$2,Galerias!$A$2:$A$37,0))&lt;&gt;"",$A21&gt;INDEX(Galerias!$M$2:$M$37,MATCH(G$2,Galerias!$A$2:$A$37,0))),"",ROUND(INDEX(Galerias!$N$2:$N$37,MATCH(G$2,Galerias!$A$2:$A$37,0))*INDEX(Galerias!$O$2:$O$37,MATCH(G$2,Galerias!$A$2:$A$37,0))^($A21-1),0))</f>
        <v/>
      </c>
      <c r="H21" s="43">
        <f>IF(AND(INDEX(Galerias!$M$2:$M$37,MATCH(H$2,Galerias!$A$2:$A$37,0))&lt;&gt;"",$A21&gt;INDEX(Galerias!$M$2:$M$37,MATCH(H$2,Galerias!$A$2:$A$37,0))),"",ROUND(INDEX(Galerias!$N$2:$N$37,MATCH(H$2,Galerias!$A$2:$A$37,0))*INDEX(Galerias!$O$2:$O$37,MATCH(H$2,Galerias!$A$2:$A$37,0))^($A21-1),0))</f>
        <v/>
      </c>
      <c r="I21" s="43">
        <f>IF(AND(INDEX(Galerias!$M$2:$M$37,MATCH(I$2,Galerias!$A$2:$A$37,0))&lt;&gt;"",$A21&gt;INDEX(Galerias!$M$2:$M$37,MATCH(I$2,Galerias!$A$2:$A$37,0))),"",ROUND(INDEX(Galerias!$N$2:$N$37,MATCH(I$2,Galerias!$A$2:$A$37,0))*INDEX(Galerias!$O$2:$O$37,MATCH(I$2,Galerias!$A$2:$A$37,0))^($A21-1),0))</f>
        <v/>
      </c>
      <c r="J21" s="43">
        <f>IF(AND(INDEX(Galerias!$M$2:$M$37,MATCH(J$2,Galerias!$A$2:$A$37,0))&lt;&gt;"",$A21&gt;INDEX(Galerias!$M$2:$M$37,MATCH(J$2,Galerias!$A$2:$A$37,0))),"",ROUND(INDEX(Galerias!$N$2:$N$37,MATCH(J$2,Galerias!$A$2:$A$37,0))*INDEX(Galerias!$O$2:$O$37,MATCH(J$2,Galerias!$A$2:$A$37,0))^($A21-1),0))</f>
        <v/>
      </c>
      <c r="K21" s="43">
        <f>IF(AND(INDEX(Galerias!$M$2:$M$37,MATCH(K$2,Galerias!$A$2:$A$37,0))&lt;&gt;"",$A21&gt;INDEX(Galerias!$M$2:$M$37,MATCH(K$2,Galerias!$A$2:$A$37,0))),"",ROUND(INDEX(Galerias!$N$2:$N$37,MATCH(K$2,Galerias!$A$2:$A$37,0))*INDEX(Galerias!$O$2:$O$37,MATCH(K$2,Galerias!$A$2:$A$37,0))^($A21-1),0))</f>
        <v/>
      </c>
      <c r="L21" s="43">
        <f>IF(AND(INDEX(Galerias!$M$2:$M$37,MATCH(L$2,Galerias!$A$2:$A$37,0))&lt;&gt;"",$A21&gt;INDEX(Galerias!$M$2:$M$37,MATCH(L$2,Galerias!$A$2:$A$37,0))),"",ROUND(INDEX(Galerias!$N$2:$N$37,MATCH(L$2,Galerias!$A$2:$A$37,0))*INDEX(Galerias!$O$2:$O$37,MATCH(L$2,Galerias!$A$2:$A$37,0))^($A21-1),0))</f>
        <v/>
      </c>
      <c r="M21" s="43">
        <f>IF(AND(INDEX(Galerias!$M$2:$M$37,MATCH(M$2,Galerias!$A$2:$A$37,0))&lt;&gt;"",$A21&gt;INDEX(Galerias!$M$2:$M$37,MATCH(M$2,Galerias!$A$2:$A$37,0))),"",ROUND(INDEX(Galerias!$N$2:$N$37,MATCH(M$2,Galerias!$A$2:$A$37,0))*INDEX(Galerias!$O$2:$O$37,MATCH(M$2,Galerias!$A$2:$A$37,0))^($A21-1),0))</f>
        <v/>
      </c>
      <c r="N21" s="43">
        <f>IF(AND(INDEX(Galerias!$M$2:$M$37,MATCH(N$2,Galerias!$A$2:$A$37,0))&lt;&gt;"",$A21&gt;INDEX(Galerias!$M$2:$M$37,MATCH(N$2,Galerias!$A$2:$A$37,0))),"",ROUND(INDEX(Galerias!$N$2:$N$37,MATCH(N$2,Galerias!$A$2:$A$37,0))*INDEX(Galerias!$O$2:$O$37,MATCH(N$2,Galerias!$A$2:$A$37,0))^($A21-1),0))</f>
        <v/>
      </c>
      <c r="O21" s="43">
        <f>IF(AND(INDEX(Galerias!$M$2:$M$37,MATCH(O$2,Galerias!$A$2:$A$37,0))&lt;&gt;"",$A21&gt;INDEX(Galerias!$M$2:$M$37,MATCH(O$2,Galerias!$A$2:$A$37,0))),"",ROUND(INDEX(Galerias!$N$2:$N$37,MATCH(O$2,Galerias!$A$2:$A$37,0))*INDEX(Galerias!$O$2:$O$37,MATCH(O$2,Galerias!$A$2:$A$37,0))^($A21-1),0))</f>
        <v/>
      </c>
      <c r="P21" s="43">
        <f>IF(AND(INDEX(Galerias!$M$2:$M$37,MATCH(P$2,Galerias!$A$2:$A$37,0))&lt;&gt;"",$A21&gt;INDEX(Galerias!$M$2:$M$37,MATCH(P$2,Galerias!$A$2:$A$37,0))),"",ROUND(INDEX(Galerias!$N$2:$N$37,MATCH(P$2,Galerias!$A$2:$A$37,0))*INDEX(Galerias!$O$2:$O$37,MATCH(P$2,Galerias!$A$2:$A$37,0))^($A21-1),0))</f>
        <v/>
      </c>
      <c r="Q21" s="43">
        <f>IF(AND(INDEX(Galerias!$M$2:$M$37,MATCH(Q$2,Galerias!$A$2:$A$37,0))&lt;&gt;"",$A21&gt;INDEX(Galerias!$M$2:$M$37,MATCH(Q$2,Galerias!$A$2:$A$37,0))),"",ROUND(INDEX(Galerias!$N$2:$N$37,MATCH(Q$2,Galerias!$A$2:$A$37,0))*INDEX(Galerias!$O$2:$O$37,MATCH(Q$2,Galerias!$A$2:$A$37,0))^($A21-1),0))</f>
        <v/>
      </c>
      <c r="R21" s="43">
        <f>IF(AND(INDEX(Galerias!$M$2:$M$37,MATCH(R$2,Galerias!$A$2:$A$37,0))&lt;&gt;"",$A21&gt;INDEX(Galerias!$M$2:$M$37,MATCH(R$2,Galerias!$A$2:$A$37,0))),"",ROUND(INDEX(Galerias!$N$2:$N$37,MATCH(R$2,Galerias!$A$2:$A$37,0))*INDEX(Galerias!$O$2:$O$37,MATCH(R$2,Galerias!$A$2:$A$37,0))^($A21-1),0))</f>
        <v/>
      </c>
      <c r="S21" s="43">
        <f>IF(AND(INDEX(Galerias!$M$2:$M$37,MATCH(S$2,Galerias!$A$2:$A$37,0))&lt;&gt;"",$A21&gt;INDEX(Galerias!$M$2:$M$37,MATCH(S$2,Galerias!$A$2:$A$37,0))),"",ROUND(INDEX(Galerias!$N$2:$N$37,MATCH(S$2,Galerias!$A$2:$A$37,0))*INDEX(Galerias!$O$2:$O$37,MATCH(S$2,Galerias!$A$2:$A$37,0))^($A21-1),0))</f>
        <v/>
      </c>
      <c r="T21" s="43">
        <f>IF(AND(INDEX(Galerias!$M$2:$M$37,MATCH(T$2,Galerias!$A$2:$A$37,0))&lt;&gt;"",$A21&gt;INDEX(Galerias!$M$2:$M$37,MATCH(T$2,Galerias!$A$2:$A$37,0))),"",ROUND(INDEX(Galerias!$N$2:$N$37,MATCH(T$2,Galerias!$A$2:$A$37,0))*INDEX(Galerias!$O$2:$O$37,MATCH(T$2,Galerias!$A$2:$A$37,0))^($A21-1),0))</f>
        <v/>
      </c>
      <c r="U21" s="43">
        <f>IF(AND(INDEX(Galerias!$M$2:$M$37,MATCH(U$2,Galerias!$A$2:$A$37,0))&lt;&gt;"",$A21&gt;INDEX(Galerias!$M$2:$M$37,MATCH(U$2,Galerias!$A$2:$A$37,0))),"",ROUND(INDEX(Galerias!$N$2:$N$37,MATCH(U$2,Galerias!$A$2:$A$37,0))*INDEX(Galerias!$O$2:$O$37,MATCH(U$2,Galerias!$A$2:$A$37,0))^($A21-1),0))</f>
        <v/>
      </c>
      <c r="V21" s="43">
        <f>IF(AND(INDEX(Galerias!$M$2:$M$37,MATCH(V$2,Galerias!$A$2:$A$37,0))&lt;&gt;"",$A21&gt;INDEX(Galerias!$M$2:$M$37,MATCH(V$2,Galerias!$A$2:$A$37,0))),"",ROUND(INDEX(Galerias!$N$2:$N$37,MATCH(V$2,Galerias!$A$2:$A$37,0))*INDEX(Galerias!$O$2:$O$37,MATCH(V$2,Galerias!$A$2:$A$37,0))^($A21-1),0))</f>
        <v/>
      </c>
      <c r="W21" s="43">
        <f>IF(AND(INDEX(Galerias!$M$2:$M$37,MATCH(W$2,Galerias!$A$2:$A$37,0))&lt;&gt;"",$A21&gt;INDEX(Galerias!$M$2:$M$37,MATCH(W$2,Galerias!$A$2:$A$37,0))),"",ROUND(INDEX(Galerias!$N$2:$N$37,MATCH(W$2,Galerias!$A$2:$A$37,0))*INDEX(Galerias!$O$2:$O$37,MATCH(W$2,Galerias!$A$2:$A$37,0))^($A21-1),0))</f>
        <v/>
      </c>
      <c r="X21" s="43">
        <f>IF(AND(INDEX(Galerias!$M$2:$M$37,MATCH(X$2,Galerias!$A$2:$A$37,0))&lt;&gt;"",$A21&gt;INDEX(Galerias!$M$2:$M$37,MATCH(X$2,Galerias!$A$2:$A$37,0))),"",ROUND(INDEX(Galerias!$N$2:$N$37,MATCH(X$2,Galerias!$A$2:$A$37,0))*INDEX(Galerias!$O$2:$O$37,MATCH(X$2,Galerias!$A$2:$A$37,0))^($A21-1),0))</f>
        <v/>
      </c>
      <c r="Y21" s="43">
        <f>IF(AND(INDEX(Galerias!$M$2:$M$37,MATCH(Y$2,Galerias!$A$2:$A$37,0))&lt;&gt;"",$A21&gt;INDEX(Galerias!$M$2:$M$37,MATCH(Y$2,Galerias!$A$2:$A$37,0))),"",ROUND(INDEX(Galerias!$N$2:$N$37,MATCH(Y$2,Galerias!$A$2:$A$37,0))*INDEX(Galerias!$O$2:$O$37,MATCH(Y$2,Galerias!$A$2:$A$37,0))^($A21-1),0))</f>
        <v/>
      </c>
      <c r="Z21" s="43">
        <f>IF(AND(INDEX(Galerias!$M$2:$M$37,MATCH(Z$2,Galerias!$A$2:$A$37,0))&lt;&gt;"",$A21&gt;INDEX(Galerias!$M$2:$M$37,MATCH(Z$2,Galerias!$A$2:$A$37,0))),"",ROUND(INDEX(Galerias!$N$2:$N$37,MATCH(Z$2,Galerias!$A$2:$A$37,0))*INDEX(Galerias!$O$2:$O$37,MATCH(Z$2,Galerias!$A$2:$A$37,0))^($A21-1),0))</f>
        <v/>
      </c>
      <c r="AA21" s="43">
        <f>IF(AND(INDEX(Galerias!$M$2:$M$37,MATCH(AA$2,Galerias!$A$2:$A$37,0))&lt;&gt;"",$A21&gt;INDEX(Galerias!$M$2:$M$37,MATCH(AA$2,Galerias!$A$2:$A$37,0))),"",ROUND(INDEX(Galerias!$N$2:$N$37,MATCH(AA$2,Galerias!$A$2:$A$37,0))*INDEX(Galerias!$O$2:$O$37,MATCH(AA$2,Galerias!$A$2:$A$37,0))^($A21-1),0))</f>
        <v/>
      </c>
      <c r="AB21" s="43">
        <f>IF(AND(INDEX(Galerias!$M$2:$M$37,MATCH(AB$2,Galerias!$A$2:$A$37,0))&lt;&gt;"",$A21&gt;INDEX(Galerias!$M$2:$M$37,MATCH(AB$2,Galerias!$A$2:$A$37,0))),"",ROUND(INDEX(Galerias!$N$2:$N$37,MATCH(AB$2,Galerias!$A$2:$A$37,0))*INDEX(Galerias!$O$2:$O$37,MATCH(AB$2,Galerias!$A$2:$A$37,0))^($A21-1),0))</f>
        <v/>
      </c>
      <c r="AC21" s="43">
        <f>IF(AND(INDEX(Galerias!$M$2:$M$37,MATCH(AC$2,Galerias!$A$2:$A$37,0))&lt;&gt;"",$A21&gt;INDEX(Galerias!$M$2:$M$37,MATCH(AC$2,Galerias!$A$2:$A$37,0))),"",ROUND(INDEX(Galerias!$N$2:$N$37,MATCH(AC$2,Galerias!$A$2:$A$37,0))*INDEX(Galerias!$O$2:$O$37,MATCH(AC$2,Galerias!$A$2:$A$37,0))^($A21-1),0))</f>
        <v/>
      </c>
      <c r="AD21" s="43">
        <f>IF(AND(INDEX(Galerias!$M$2:$M$37,MATCH(AD$2,Galerias!$A$2:$A$37,0))&lt;&gt;"",$A21&gt;INDEX(Galerias!$M$2:$M$37,MATCH(AD$2,Galerias!$A$2:$A$37,0))),"",ROUND(INDEX(Galerias!$N$2:$N$37,MATCH(AD$2,Galerias!$A$2:$A$37,0))*INDEX(Galerias!$O$2:$O$37,MATCH(AD$2,Galerias!$A$2:$A$37,0))^($A21-1),0))</f>
        <v/>
      </c>
      <c r="AE21" s="43">
        <f>IF(AND(INDEX(Galerias!$M$2:$M$37,MATCH(AE$2,Galerias!$A$2:$A$37,0))&lt;&gt;"",$A21&gt;INDEX(Galerias!$M$2:$M$37,MATCH(AE$2,Galerias!$A$2:$A$37,0))),"",ROUND(INDEX(Galerias!$N$2:$N$37,MATCH(AE$2,Galerias!$A$2:$A$37,0))*INDEX(Galerias!$O$2:$O$37,MATCH(AE$2,Galerias!$A$2:$A$37,0))^($A21-1),0))</f>
        <v/>
      </c>
      <c r="AF21" s="43">
        <f>IF(AND(INDEX(Galerias!$M$2:$M$37,MATCH(AF$2,Galerias!$A$2:$A$37,0))&lt;&gt;"",$A21&gt;INDEX(Galerias!$M$2:$M$37,MATCH(AF$2,Galerias!$A$2:$A$37,0))),"",ROUND(INDEX(Galerias!$N$2:$N$37,MATCH(AF$2,Galerias!$A$2:$A$37,0))*INDEX(Galerias!$O$2:$O$37,MATCH(AF$2,Galerias!$A$2:$A$37,0))^($A21-1),0))</f>
        <v/>
      </c>
      <c r="AG21" s="43">
        <f>IF(AND(INDEX(Galerias!$M$2:$M$37,MATCH(AG$2,Galerias!$A$2:$A$37,0))&lt;&gt;"",$A21&gt;INDEX(Galerias!$M$2:$M$37,MATCH(AG$2,Galerias!$A$2:$A$37,0))),"",ROUND(INDEX(Galerias!$N$2:$N$37,MATCH(AG$2,Galerias!$A$2:$A$37,0))*INDEX(Galerias!$O$2:$O$37,MATCH(AG$2,Galerias!$A$2:$A$37,0))^($A21-1),0))</f>
        <v/>
      </c>
      <c r="AH21" s="43">
        <f>IF(AND(INDEX(Galerias!$M$2:$M$37,MATCH(AH$2,Galerias!$A$2:$A$37,0))&lt;&gt;"",$A21&gt;INDEX(Galerias!$M$2:$M$37,MATCH(AH$2,Galerias!$A$2:$A$37,0))),"",ROUND(INDEX(Galerias!$N$2:$N$37,MATCH(AH$2,Galerias!$A$2:$A$37,0))*INDEX(Galerias!$O$2:$O$37,MATCH(AH$2,Galerias!$A$2:$A$37,0))^($A21-1),0))</f>
        <v/>
      </c>
      <c r="AI21" s="43">
        <f>IF(AND(INDEX(Galerias!$M$2:$M$37,MATCH(AI$2,Galerias!$A$2:$A$37,0))&lt;&gt;"",$A21&gt;INDEX(Galerias!$M$2:$M$37,MATCH(AI$2,Galerias!$A$2:$A$37,0))),"",ROUND(INDEX(Galerias!$N$2:$N$37,MATCH(AI$2,Galerias!$A$2:$A$37,0))*INDEX(Galerias!$O$2:$O$37,MATCH(AI$2,Galerias!$A$2:$A$37,0))^($A21-1),0))</f>
        <v/>
      </c>
      <c r="AJ21" s="43">
        <f>IF(AND(INDEX(Galerias!$M$2:$M$37,MATCH(AJ$2,Galerias!$A$2:$A$37,0))&lt;&gt;"",$A21&gt;INDEX(Galerias!$M$2:$M$37,MATCH(AJ$2,Galerias!$A$2:$A$37,0))),"",ROUND(INDEX(Galerias!$N$2:$N$37,MATCH(AJ$2,Galerias!$A$2:$A$37,0))*INDEX(Galerias!$O$2:$O$37,MATCH(AJ$2,Galerias!$A$2:$A$37,0))^($A21-1),0))</f>
        <v/>
      </c>
      <c r="AK21" s="43">
        <f>IF(AND(INDEX(Galerias!$M$2:$M$37,MATCH(AK$2,Galerias!$A$2:$A$37,0))&lt;&gt;"",$A21&gt;INDEX(Galerias!$M$2:$M$37,MATCH(AK$2,Galerias!$A$2:$A$37,0))),"",ROUND(INDEX(Galerias!$N$2:$N$37,MATCH(AK$2,Galerias!$A$2:$A$37,0))*INDEX(Galerias!$O$2:$O$37,MATCH(AK$2,Galerias!$A$2:$A$37,0))^($A21-1),0))</f>
        <v/>
      </c>
    </row>
    <row r="22" ht="15" customHeight="1" s="23">
      <c r="A22" s="25" t="n">
        <v>20</v>
      </c>
      <c r="B22" s="43">
        <f>IF(AND(INDEX(Galerias!$M$2:$M$37,MATCH(B$2,Galerias!$A$2:$A$37,0))&lt;&gt;"",$A22&gt;INDEX(Galerias!$M$2:$M$37,MATCH(B$2,Galerias!$A$2:$A$37,0))),"",ROUND(INDEX(Galerias!$N$2:$N$37,MATCH(B$2,Galerias!$A$2:$A$37,0))*INDEX(Galerias!$O$2:$O$37,MATCH(B$2,Galerias!$A$2:$A$37,0))^($A22-1),0))</f>
        <v/>
      </c>
      <c r="C22" s="43">
        <f>IF(AND(INDEX(Galerias!$M$2:$M$37,MATCH(C$2,Galerias!$A$2:$A$37,0))&lt;&gt;"",$A22&gt;INDEX(Galerias!$M$2:$M$37,MATCH(C$2,Galerias!$A$2:$A$37,0))),"",ROUND(INDEX(Galerias!$N$2:$N$37,MATCH(C$2,Galerias!$A$2:$A$37,0))*INDEX(Galerias!$O$2:$O$37,MATCH(C$2,Galerias!$A$2:$A$37,0))^($A22-1),0))</f>
        <v/>
      </c>
      <c r="D22" s="43">
        <f>IF(AND(INDEX(Galerias!$M$2:$M$37,MATCH(D$2,Galerias!$A$2:$A$37,0))&lt;&gt;"",$A22&gt;INDEX(Galerias!$M$2:$M$37,MATCH(D$2,Galerias!$A$2:$A$37,0))),"",ROUND(INDEX(Galerias!$N$2:$N$37,MATCH(D$2,Galerias!$A$2:$A$37,0))*INDEX(Galerias!$O$2:$O$37,MATCH(D$2,Galerias!$A$2:$A$37,0))^($A22-1),0))</f>
        <v/>
      </c>
      <c r="E22" s="43">
        <f>IF(AND(INDEX(Galerias!$M$2:$M$37,MATCH(E$2,Galerias!$A$2:$A$37,0))&lt;&gt;"",$A22&gt;INDEX(Galerias!$M$2:$M$37,MATCH(E$2,Galerias!$A$2:$A$37,0))),"",ROUND(INDEX(Galerias!$N$2:$N$37,MATCH(E$2,Galerias!$A$2:$A$37,0))*INDEX(Galerias!$O$2:$O$37,MATCH(E$2,Galerias!$A$2:$A$37,0))^($A22-1),0))</f>
        <v/>
      </c>
      <c r="F22" s="43">
        <f>IF(AND(INDEX(Galerias!$M$2:$M$37,MATCH(F$2,Galerias!$A$2:$A$37,0))&lt;&gt;"",$A22&gt;INDEX(Galerias!$M$2:$M$37,MATCH(F$2,Galerias!$A$2:$A$37,0))),"",ROUND(INDEX(Galerias!$N$2:$N$37,MATCH(F$2,Galerias!$A$2:$A$37,0))*INDEX(Galerias!$O$2:$O$37,MATCH(F$2,Galerias!$A$2:$A$37,0))^($A22-1),0))</f>
        <v/>
      </c>
      <c r="G22" s="43">
        <f>IF(AND(INDEX(Galerias!$M$2:$M$37,MATCH(G$2,Galerias!$A$2:$A$37,0))&lt;&gt;"",$A22&gt;INDEX(Galerias!$M$2:$M$37,MATCH(G$2,Galerias!$A$2:$A$37,0))),"",ROUND(INDEX(Galerias!$N$2:$N$37,MATCH(G$2,Galerias!$A$2:$A$37,0))*INDEX(Galerias!$O$2:$O$37,MATCH(G$2,Galerias!$A$2:$A$37,0))^($A22-1),0))</f>
        <v/>
      </c>
      <c r="H22" s="43">
        <f>IF(AND(INDEX(Galerias!$M$2:$M$37,MATCH(H$2,Galerias!$A$2:$A$37,0))&lt;&gt;"",$A22&gt;INDEX(Galerias!$M$2:$M$37,MATCH(H$2,Galerias!$A$2:$A$37,0))),"",ROUND(INDEX(Galerias!$N$2:$N$37,MATCH(H$2,Galerias!$A$2:$A$37,0))*INDEX(Galerias!$O$2:$O$37,MATCH(H$2,Galerias!$A$2:$A$37,0))^($A22-1),0))</f>
        <v/>
      </c>
      <c r="I22" s="43">
        <f>IF(AND(INDEX(Galerias!$M$2:$M$37,MATCH(I$2,Galerias!$A$2:$A$37,0))&lt;&gt;"",$A22&gt;INDEX(Galerias!$M$2:$M$37,MATCH(I$2,Galerias!$A$2:$A$37,0))),"",ROUND(INDEX(Galerias!$N$2:$N$37,MATCH(I$2,Galerias!$A$2:$A$37,0))*INDEX(Galerias!$O$2:$O$37,MATCH(I$2,Galerias!$A$2:$A$37,0))^($A22-1),0))</f>
        <v/>
      </c>
      <c r="J22" s="43">
        <f>IF(AND(INDEX(Galerias!$M$2:$M$37,MATCH(J$2,Galerias!$A$2:$A$37,0))&lt;&gt;"",$A22&gt;INDEX(Galerias!$M$2:$M$37,MATCH(J$2,Galerias!$A$2:$A$37,0))),"",ROUND(INDEX(Galerias!$N$2:$N$37,MATCH(J$2,Galerias!$A$2:$A$37,0))*INDEX(Galerias!$O$2:$O$37,MATCH(J$2,Galerias!$A$2:$A$37,0))^($A22-1),0))</f>
        <v/>
      </c>
      <c r="K22" s="43">
        <f>IF(AND(INDEX(Galerias!$M$2:$M$37,MATCH(K$2,Galerias!$A$2:$A$37,0))&lt;&gt;"",$A22&gt;INDEX(Galerias!$M$2:$M$37,MATCH(K$2,Galerias!$A$2:$A$37,0))),"",ROUND(INDEX(Galerias!$N$2:$N$37,MATCH(K$2,Galerias!$A$2:$A$37,0))*INDEX(Galerias!$O$2:$O$37,MATCH(K$2,Galerias!$A$2:$A$37,0))^($A22-1),0))</f>
        <v/>
      </c>
      <c r="L22" s="43">
        <f>IF(AND(INDEX(Galerias!$M$2:$M$37,MATCH(L$2,Galerias!$A$2:$A$37,0))&lt;&gt;"",$A22&gt;INDEX(Galerias!$M$2:$M$37,MATCH(L$2,Galerias!$A$2:$A$37,0))),"",ROUND(INDEX(Galerias!$N$2:$N$37,MATCH(L$2,Galerias!$A$2:$A$37,0))*INDEX(Galerias!$O$2:$O$37,MATCH(L$2,Galerias!$A$2:$A$37,0))^($A22-1),0))</f>
        <v/>
      </c>
      <c r="M22" s="43">
        <f>IF(AND(INDEX(Galerias!$M$2:$M$37,MATCH(M$2,Galerias!$A$2:$A$37,0))&lt;&gt;"",$A22&gt;INDEX(Galerias!$M$2:$M$37,MATCH(M$2,Galerias!$A$2:$A$37,0))),"",ROUND(INDEX(Galerias!$N$2:$N$37,MATCH(M$2,Galerias!$A$2:$A$37,0))*INDEX(Galerias!$O$2:$O$37,MATCH(M$2,Galerias!$A$2:$A$37,0))^($A22-1),0))</f>
        <v/>
      </c>
      <c r="N22" s="43">
        <f>IF(AND(INDEX(Galerias!$M$2:$M$37,MATCH(N$2,Galerias!$A$2:$A$37,0))&lt;&gt;"",$A22&gt;INDEX(Galerias!$M$2:$M$37,MATCH(N$2,Galerias!$A$2:$A$37,0))),"",ROUND(INDEX(Galerias!$N$2:$N$37,MATCH(N$2,Galerias!$A$2:$A$37,0))*INDEX(Galerias!$O$2:$O$37,MATCH(N$2,Galerias!$A$2:$A$37,0))^($A22-1),0))</f>
        <v/>
      </c>
      <c r="O22" s="43">
        <f>IF(AND(INDEX(Galerias!$M$2:$M$37,MATCH(O$2,Galerias!$A$2:$A$37,0))&lt;&gt;"",$A22&gt;INDEX(Galerias!$M$2:$M$37,MATCH(O$2,Galerias!$A$2:$A$37,0))),"",ROUND(INDEX(Galerias!$N$2:$N$37,MATCH(O$2,Galerias!$A$2:$A$37,0))*INDEX(Galerias!$O$2:$O$37,MATCH(O$2,Galerias!$A$2:$A$37,0))^($A22-1),0))</f>
        <v/>
      </c>
      <c r="P22" s="43">
        <f>IF(AND(INDEX(Galerias!$M$2:$M$37,MATCH(P$2,Galerias!$A$2:$A$37,0))&lt;&gt;"",$A22&gt;INDEX(Galerias!$M$2:$M$37,MATCH(P$2,Galerias!$A$2:$A$37,0))),"",ROUND(INDEX(Galerias!$N$2:$N$37,MATCH(P$2,Galerias!$A$2:$A$37,0))*INDEX(Galerias!$O$2:$O$37,MATCH(P$2,Galerias!$A$2:$A$37,0))^($A22-1),0))</f>
        <v/>
      </c>
      <c r="Q22" s="43">
        <f>IF(AND(INDEX(Galerias!$M$2:$M$37,MATCH(Q$2,Galerias!$A$2:$A$37,0))&lt;&gt;"",$A22&gt;INDEX(Galerias!$M$2:$M$37,MATCH(Q$2,Galerias!$A$2:$A$37,0))),"",ROUND(INDEX(Galerias!$N$2:$N$37,MATCH(Q$2,Galerias!$A$2:$A$37,0))*INDEX(Galerias!$O$2:$O$37,MATCH(Q$2,Galerias!$A$2:$A$37,0))^($A22-1),0))</f>
        <v/>
      </c>
      <c r="R22" s="43">
        <f>IF(AND(INDEX(Galerias!$M$2:$M$37,MATCH(R$2,Galerias!$A$2:$A$37,0))&lt;&gt;"",$A22&gt;INDEX(Galerias!$M$2:$M$37,MATCH(R$2,Galerias!$A$2:$A$37,0))),"",ROUND(INDEX(Galerias!$N$2:$N$37,MATCH(R$2,Galerias!$A$2:$A$37,0))*INDEX(Galerias!$O$2:$O$37,MATCH(R$2,Galerias!$A$2:$A$37,0))^($A22-1),0))</f>
        <v/>
      </c>
      <c r="S22" s="43">
        <f>IF(AND(INDEX(Galerias!$M$2:$M$37,MATCH(S$2,Galerias!$A$2:$A$37,0))&lt;&gt;"",$A22&gt;INDEX(Galerias!$M$2:$M$37,MATCH(S$2,Galerias!$A$2:$A$37,0))),"",ROUND(INDEX(Galerias!$N$2:$N$37,MATCH(S$2,Galerias!$A$2:$A$37,0))*INDEX(Galerias!$O$2:$O$37,MATCH(S$2,Galerias!$A$2:$A$37,0))^($A22-1),0))</f>
        <v/>
      </c>
      <c r="T22" s="43">
        <f>IF(AND(INDEX(Galerias!$M$2:$M$37,MATCH(T$2,Galerias!$A$2:$A$37,0))&lt;&gt;"",$A22&gt;INDEX(Galerias!$M$2:$M$37,MATCH(T$2,Galerias!$A$2:$A$37,0))),"",ROUND(INDEX(Galerias!$N$2:$N$37,MATCH(T$2,Galerias!$A$2:$A$37,0))*INDEX(Galerias!$O$2:$O$37,MATCH(T$2,Galerias!$A$2:$A$37,0))^($A22-1),0))</f>
        <v/>
      </c>
      <c r="U22" s="43">
        <f>IF(AND(INDEX(Galerias!$M$2:$M$37,MATCH(U$2,Galerias!$A$2:$A$37,0))&lt;&gt;"",$A22&gt;INDEX(Galerias!$M$2:$M$37,MATCH(U$2,Galerias!$A$2:$A$37,0))),"",ROUND(INDEX(Galerias!$N$2:$N$37,MATCH(U$2,Galerias!$A$2:$A$37,0))*INDEX(Galerias!$O$2:$O$37,MATCH(U$2,Galerias!$A$2:$A$37,0))^($A22-1),0))</f>
        <v/>
      </c>
      <c r="V22" s="43">
        <f>IF(AND(INDEX(Galerias!$M$2:$M$37,MATCH(V$2,Galerias!$A$2:$A$37,0))&lt;&gt;"",$A22&gt;INDEX(Galerias!$M$2:$M$37,MATCH(V$2,Galerias!$A$2:$A$37,0))),"",ROUND(INDEX(Galerias!$N$2:$N$37,MATCH(V$2,Galerias!$A$2:$A$37,0))*INDEX(Galerias!$O$2:$O$37,MATCH(V$2,Galerias!$A$2:$A$37,0))^($A22-1),0))</f>
        <v/>
      </c>
      <c r="W22" s="43">
        <f>IF(AND(INDEX(Galerias!$M$2:$M$37,MATCH(W$2,Galerias!$A$2:$A$37,0))&lt;&gt;"",$A22&gt;INDEX(Galerias!$M$2:$M$37,MATCH(W$2,Galerias!$A$2:$A$37,0))),"",ROUND(INDEX(Galerias!$N$2:$N$37,MATCH(W$2,Galerias!$A$2:$A$37,0))*INDEX(Galerias!$O$2:$O$37,MATCH(W$2,Galerias!$A$2:$A$37,0))^($A22-1),0))</f>
        <v/>
      </c>
      <c r="X22" s="43">
        <f>IF(AND(INDEX(Galerias!$M$2:$M$37,MATCH(X$2,Galerias!$A$2:$A$37,0))&lt;&gt;"",$A22&gt;INDEX(Galerias!$M$2:$M$37,MATCH(X$2,Galerias!$A$2:$A$37,0))),"",ROUND(INDEX(Galerias!$N$2:$N$37,MATCH(X$2,Galerias!$A$2:$A$37,0))*INDEX(Galerias!$O$2:$O$37,MATCH(X$2,Galerias!$A$2:$A$37,0))^($A22-1),0))</f>
        <v/>
      </c>
      <c r="Y22" s="43">
        <f>IF(AND(INDEX(Galerias!$M$2:$M$37,MATCH(Y$2,Galerias!$A$2:$A$37,0))&lt;&gt;"",$A22&gt;INDEX(Galerias!$M$2:$M$37,MATCH(Y$2,Galerias!$A$2:$A$37,0))),"",ROUND(INDEX(Galerias!$N$2:$N$37,MATCH(Y$2,Galerias!$A$2:$A$37,0))*INDEX(Galerias!$O$2:$O$37,MATCH(Y$2,Galerias!$A$2:$A$37,0))^($A22-1),0))</f>
        <v/>
      </c>
      <c r="Z22" s="43">
        <f>IF(AND(INDEX(Galerias!$M$2:$M$37,MATCH(Z$2,Galerias!$A$2:$A$37,0))&lt;&gt;"",$A22&gt;INDEX(Galerias!$M$2:$M$37,MATCH(Z$2,Galerias!$A$2:$A$37,0))),"",ROUND(INDEX(Galerias!$N$2:$N$37,MATCH(Z$2,Galerias!$A$2:$A$37,0))*INDEX(Galerias!$O$2:$O$37,MATCH(Z$2,Galerias!$A$2:$A$37,0))^($A22-1),0))</f>
        <v/>
      </c>
      <c r="AA22" s="43">
        <f>IF(AND(INDEX(Galerias!$M$2:$M$37,MATCH(AA$2,Galerias!$A$2:$A$37,0))&lt;&gt;"",$A22&gt;INDEX(Galerias!$M$2:$M$37,MATCH(AA$2,Galerias!$A$2:$A$37,0))),"",ROUND(INDEX(Galerias!$N$2:$N$37,MATCH(AA$2,Galerias!$A$2:$A$37,0))*INDEX(Galerias!$O$2:$O$37,MATCH(AA$2,Galerias!$A$2:$A$37,0))^($A22-1),0))</f>
        <v/>
      </c>
      <c r="AB22" s="43">
        <f>IF(AND(INDEX(Galerias!$M$2:$M$37,MATCH(AB$2,Galerias!$A$2:$A$37,0))&lt;&gt;"",$A22&gt;INDEX(Galerias!$M$2:$M$37,MATCH(AB$2,Galerias!$A$2:$A$37,0))),"",ROUND(INDEX(Galerias!$N$2:$N$37,MATCH(AB$2,Galerias!$A$2:$A$37,0))*INDEX(Galerias!$O$2:$O$37,MATCH(AB$2,Galerias!$A$2:$A$37,0))^($A22-1),0))</f>
        <v/>
      </c>
      <c r="AC22" s="43">
        <f>IF(AND(INDEX(Galerias!$M$2:$M$37,MATCH(AC$2,Galerias!$A$2:$A$37,0))&lt;&gt;"",$A22&gt;INDEX(Galerias!$M$2:$M$37,MATCH(AC$2,Galerias!$A$2:$A$37,0))),"",ROUND(INDEX(Galerias!$N$2:$N$37,MATCH(AC$2,Galerias!$A$2:$A$37,0))*INDEX(Galerias!$O$2:$O$37,MATCH(AC$2,Galerias!$A$2:$A$37,0))^($A22-1),0))</f>
        <v/>
      </c>
      <c r="AD22" s="43">
        <f>IF(AND(INDEX(Galerias!$M$2:$M$37,MATCH(AD$2,Galerias!$A$2:$A$37,0))&lt;&gt;"",$A22&gt;INDEX(Galerias!$M$2:$M$37,MATCH(AD$2,Galerias!$A$2:$A$37,0))),"",ROUND(INDEX(Galerias!$N$2:$N$37,MATCH(AD$2,Galerias!$A$2:$A$37,0))*INDEX(Galerias!$O$2:$O$37,MATCH(AD$2,Galerias!$A$2:$A$37,0))^($A22-1),0))</f>
        <v/>
      </c>
      <c r="AE22" s="43">
        <f>IF(AND(INDEX(Galerias!$M$2:$M$37,MATCH(AE$2,Galerias!$A$2:$A$37,0))&lt;&gt;"",$A22&gt;INDEX(Galerias!$M$2:$M$37,MATCH(AE$2,Galerias!$A$2:$A$37,0))),"",ROUND(INDEX(Galerias!$N$2:$N$37,MATCH(AE$2,Galerias!$A$2:$A$37,0))*INDEX(Galerias!$O$2:$O$37,MATCH(AE$2,Galerias!$A$2:$A$37,0))^($A22-1),0))</f>
        <v/>
      </c>
      <c r="AF22" s="43">
        <f>IF(AND(INDEX(Galerias!$M$2:$M$37,MATCH(AF$2,Galerias!$A$2:$A$37,0))&lt;&gt;"",$A22&gt;INDEX(Galerias!$M$2:$M$37,MATCH(AF$2,Galerias!$A$2:$A$37,0))),"",ROUND(INDEX(Galerias!$N$2:$N$37,MATCH(AF$2,Galerias!$A$2:$A$37,0))*INDEX(Galerias!$O$2:$O$37,MATCH(AF$2,Galerias!$A$2:$A$37,0))^($A22-1),0))</f>
        <v/>
      </c>
      <c r="AG22" s="43">
        <f>IF(AND(INDEX(Galerias!$M$2:$M$37,MATCH(AG$2,Galerias!$A$2:$A$37,0))&lt;&gt;"",$A22&gt;INDEX(Galerias!$M$2:$M$37,MATCH(AG$2,Galerias!$A$2:$A$37,0))),"",ROUND(INDEX(Galerias!$N$2:$N$37,MATCH(AG$2,Galerias!$A$2:$A$37,0))*INDEX(Galerias!$O$2:$O$37,MATCH(AG$2,Galerias!$A$2:$A$37,0))^($A22-1),0))</f>
        <v/>
      </c>
      <c r="AH22" s="43">
        <f>IF(AND(INDEX(Galerias!$M$2:$M$37,MATCH(AH$2,Galerias!$A$2:$A$37,0))&lt;&gt;"",$A22&gt;INDEX(Galerias!$M$2:$M$37,MATCH(AH$2,Galerias!$A$2:$A$37,0))),"",ROUND(INDEX(Galerias!$N$2:$N$37,MATCH(AH$2,Galerias!$A$2:$A$37,0))*INDEX(Galerias!$O$2:$O$37,MATCH(AH$2,Galerias!$A$2:$A$37,0))^($A22-1),0))</f>
        <v/>
      </c>
      <c r="AI22" s="43">
        <f>IF(AND(INDEX(Galerias!$M$2:$M$37,MATCH(AI$2,Galerias!$A$2:$A$37,0))&lt;&gt;"",$A22&gt;INDEX(Galerias!$M$2:$M$37,MATCH(AI$2,Galerias!$A$2:$A$37,0))),"",ROUND(INDEX(Galerias!$N$2:$N$37,MATCH(AI$2,Galerias!$A$2:$A$37,0))*INDEX(Galerias!$O$2:$O$37,MATCH(AI$2,Galerias!$A$2:$A$37,0))^($A22-1),0))</f>
        <v/>
      </c>
      <c r="AJ22" s="43">
        <f>IF(AND(INDEX(Galerias!$M$2:$M$37,MATCH(AJ$2,Galerias!$A$2:$A$37,0))&lt;&gt;"",$A22&gt;INDEX(Galerias!$M$2:$M$37,MATCH(AJ$2,Galerias!$A$2:$A$37,0))),"",ROUND(INDEX(Galerias!$N$2:$N$37,MATCH(AJ$2,Galerias!$A$2:$A$37,0))*INDEX(Galerias!$O$2:$O$37,MATCH(AJ$2,Galerias!$A$2:$A$37,0))^($A22-1),0))</f>
        <v/>
      </c>
      <c r="AK22" s="43">
        <f>IF(AND(INDEX(Galerias!$M$2:$M$37,MATCH(AK$2,Galerias!$A$2:$A$37,0))&lt;&gt;"",$A22&gt;INDEX(Galerias!$M$2:$M$37,MATCH(AK$2,Galerias!$A$2:$A$37,0))),"",ROUND(INDEX(Galerias!$N$2:$N$37,MATCH(AK$2,Galerias!$A$2:$A$37,0))*INDEX(Galerias!$O$2:$O$37,MATCH(AK$2,Galerias!$A$2:$A$37,0))^($A22-1),0))</f>
        <v/>
      </c>
    </row>
    <row r="23" ht="15" customHeight="1" s="23">
      <c r="A23" s="25" t="n">
        <v>21</v>
      </c>
      <c r="B23" s="43">
        <f>IF(AND(INDEX(Galerias!$M$2:$M$37,MATCH(B$2,Galerias!$A$2:$A$37,0))&lt;&gt;"",$A23&gt;INDEX(Galerias!$M$2:$M$37,MATCH(B$2,Galerias!$A$2:$A$37,0))),"",ROUND(INDEX(Galerias!$N$2:$N$37,MATCH(B$2,Galerias!$A$2:$A$37,0))*INDEX(Galerias!$O$2:$O$37,MATCH(B$2,Galerias!$A$2:$A$37,0))^($A23-1),0))</f>
        <v/>
      </c>
      <c r="C23" s="43">
        <f>IF(AND(INDEX(Galerias!$M$2:$M$37,MATCH(C$2,Galerias!$A$2:$A$37,0))&lt;&gt;"",$A23&gt;INDEX(Galerias!$M$2:$M$37,MATCH(C$2,Galerias!$A$2:$A$37,0))),"",ROUND(INDEX(Galerias!$N$2:$N$37,MATCH(C$2,Galerias!$A$2:$A$37,0))*INDEX(Galerias!$O$2:$O$37,MATCH(C$2,Galerias!$A$2:$A$37,0))^($A23-1),0))</f>
        <v/>
      </c>
      <c r="D23" s="43">
        <f>IF(AND(INDEX(Galerias!$M$2:$M$37,MATCH(D$2,Galerias!$A$2:$A$37,0))&lt;&gt;"",$A23&gt;INDEX(Galerias!$M$2:$M$37,MATCH(D$2,Galerias!$A$2:$A$37,0))),"",ROUND(INDEX(Galerias!$N$2:$N$37,MATCH(D$2,Galerias!$A$2:$A$37,0))*INDEX(Galerias!$O$2:$O$37,MATCH(D$2,Galerias!$A$2:$A$37,0))^($A23-1),0))</f>
        <v/>
      </c>
      <c r="E23" s="43">
        <f>IF(AND(INDEX(Galerias!$M$2:$M$37,MATCH(E$2,Galerias!$A$2:$A$37,0))&lt;&gt;"",$A23&gt;INDEX(Galerias!$M$2:$M$37,MATCH(E$2,Galerias!$A$2:$A$37,0))),"",ROUND(INDEX(Galerias!$N$2:$N$37,MATCH(E$2,Galerias!$A$2:$A$37,0))*INDEX(Galerias!$O$2:$O$37,MATCH(E$2,Galerias!$A$2:$A$37,0))^($A23-1),0))</f>
        <v/>
      </c>
      <c r="F23" s="43">
        <f>IF(AND(INDEX(Galerias!$M$2:$M$37,MATCH(F$2,Galerias!$A$2:$A$37,0))&lt;&gt;"",$A23&gt;INDEX(Galerias!$M$2:$M$37,MATCH(F$2,Galerias!$A$2:$A$37,0))),"",ROUND(INDEX(Galerias!$N$2:$N$37,MATCH(F$2,Galerias!$A$2:$A$37,0))*INDEX(Galerias!$O$2:$O$37,MATCH(F$2,Galerias!$A$2:$A$37,0))^($A23-1),0))</f>
        <v/>
      </c>
      <c r="G23" s="43">
        <f>IF(AND(INDEX(Galerias!$M$2:$M$37,MATCH(G$2,Galerias!$A$2:$A$37,0))&lt;&gt;"",$A23&gt;INDEX(Galerias!$M$2:$M$37,MATCH(G$2,Galerias!$A$2:$A$37,0))),"",ROUND(INDEX(Galerias!$N$2:$N$37,MATCH(G$2,Galerias!$A$2:$A$37,0))*INDEX(Galerias!$O$2:$O$37,MATCH(G$2,Galerias!$A$2:$A$37,0))^($A23-1),0))</f>
        <v/>
      </c>
      <c r="H23" s="43">
        <f>IF(AND(INDEX(Galerias!$M$2:$M$37,MATCH(H$2,Galerias!$A$2:$A$37,0))&lt;&gt;"",$A23&gt;INDEX(Galerias!$M$2:$M$37,MATCH(H$2,Galerias!$A$2:$A$37,0))),"",ROUND(INDEX(Galerias!$N$2:$N$37,MATCH(H$2,Galerias!$A$2:$A$37,0))*INDEX(Galerias!$O$2:$O$37,MATCH(H$2,Galerias!$A$2:$A$37,0))^($A23-1),0))</f>
        <v/>
      </c>
      <c r="I23" s="43">
        <f>IF(AND(INDEX(Galerias!$M$2:$M$37,MATCH(I$2,Galerias!$A$2:$A$37,0))&lt;&gt;"",$A23&gt;INDEX(Galerias!$M$2:$M$37,MATCH(I$2,Galerias!$A$2:$A$37,0))),"",ROUND(INDEX(Galerias!$N$2:$N$37,MATCH(I$2,Galerias!$A$2:$A$37,0))*INDEX(Galerias!$O$2:$O$37,MATCH(I$2,Galerias!$A$2:$A$37,0))^($A23-1),0))</f>
        <v/>
      </c>
      <c r="J23" s="43">
        <f>IF(AND(INDEX(Galerias!$M$2:$M$37,MATCH(J$2,Galerias!$A$2:$A$37,0))&lt;&gt;"",$A23&gt;INDEX(Galerias!$M$2:$M$37,MATCH(J$2,Galerias!$A$2:$A$37,0))),"",ROUND(INDEX(Galerias!$N$2:$N$37,MATCH(J$2,Galerias!$A$2:$A$37,0))*INDEX(Galerias!$O$2:$O$37,MATCH(J$2,Galerias!$A$2:$A$37,0))^($A23-1),0))</f>
        <v/>
      </c>
      <c r="K23" s="43">
        <f>IF(AND(INDEX(Galerias!$M$2:$M$37,MATCH(K$2,Galerias!$A$2:$A$37,0))&lt;&gt;"",$A23&gt;INDEX(Galerias!$M$2:$M$37,MATCH(K$2,Galerias!$A$2:$A$37,0))),"",ROUND(INDEX(Galerias!$N$2:$N$37,MATCH(K$2,Galerias!$A$2:$A$37,0))*INDEX(Galerias!$O$2:$O$37,MATCH(K$2,Galerias!$A$2:$A$37,0))^($A23-1),0))</f>
        <v/>
      </c>
      <c r="L23" s="43">
        <f>IF(AND(INDEX(Galerias!$M$2:$M$37,MATCH(L$2,Galerias!$A$2:$A$37,0))&lt;&gt;"",$A23&gt;INDEX(Galerias!$M$2:$M$37,MATCH(L$2,Galerias!$A$2:$A$37,0))),"",ROUND(INDEX(Galerias!$N$2:$N$37,MATCH(L$2,Galerias!$A$2:$A$37,0))*INDEX(Galerias!$O$2:$O$37,MATCH(L$2,Galerias!$A$2:$A$37,0))^($A23-1),0))</f>
        <v/>
      </c>
      <c r="M23" s="43">
        <f>IF(AND(INDEX(Galerias!$M$2:$M$37,MATCH(M$2,Galerias!$A$2:$A$37,0))&lt;&gt;"",$A23&gt;INDEX(Galerias!$M$2:$M$37,MATCH(M$2,Galerias!$A$2:$A$37,0))),"",ROUND(INDEX(Galerias!$N$2:$N$37,MATCH(M$2,Galerias!$A$2:$A$37,0))*INDEX(Galerias!$O$2:$O$37,MATCH(M$2,Galerias!$A$2:$A$37,0))^($A23-1),0))</f>
        <v/>
      </c>
      <c r="N23" s="43">
        <f>IF(AND(INDEX(Galerias!$M$2:$M$37,MATCH(N$2,Galerias!$A$2:$A$37,0))&lt;&gt;"",$A23&gt;INDEX(Galerias!$M$2:$M$37,MATCH(N$2,Galerias!$A$2:$A$37,0))),"",ROUND(INDEX(Galerias!$N$2:$N$37,MATCH(N$2,Galerias!$A$2:$A$37,0))*INDEX(Galerias!$O$2:$O$37,MATCH(N$2,Galerias!$A$2:$A$37,0))^($A23-1),0))</f>
        <v/>
      </c>
      <c r="O23" s="43">
        <f>IF(AND(INDEX(Galerias!$M$2:$M$37,MATCH(O$2,Galerias!$A$2:$A$37,0))&lt;&gt;"",$A23&gt;INDEX(Galerias!$M$2:$M$37,MATCH(O$2,Galerias!$A$2:$A$37,0))),"",ROUND(INDEX(Galerias!$N$2:$N$37,MATCH(O$2,Galerias!$A$2:$A$37,0))*INDEX(Galerias!$O$2:$O$37,MATCH(O$2,Galerias!$A$2:$A$37,0))^($A23-1),0))</f>
        <v/>
      </c>
      <c r="P23" s="43">
        <f>IF(AND(INDEX(Galerias!$M$2:$M$37,MATCH(P$2,Galerias!$A$2:$A$37,0))&lt;&gt;"",$A23&gt;INDEX(Galerias!$M$2:$M$37,MATCH(P$2,Galerias!$A$2:$A$37,0))),"",ROUND(INDEX(Galerias!$N$2:$N$37,MATCH(P$2,Galerias!$A$2:$A$37,0))*INDEX(Galerias!$O$2:$O$37,MATCH(P$2,Galerias!$A$2:$A$37,0))^($A23-1),0))</f>
        <v/>
      </c>
      <c r="Q23" s="43">
        <f>IF(AND(INDEX(Galerias!$M$2:$M$37,MATCH(Q$2,Galerias!$A$2:$A$37,0))&lt;&gt;"",$A23&gt;INDEX(Galerias!$M$2:$M$37,MATCH(Q$2,Galerias!$A$2:$A$37,0))),"",ROUND(INDEX(Galerias!$N$2:$N$37,MATCH(Q$2,Galerias!$A$2:$A$37,0))*INDEX(Galerias!$O$2:$O$37,MATCH(Q$2,Galerias!$A$2:$A$37,0))^($A23-1),0))</f>
        <v/>
      </c>
      <c r="R23" s="43">
        <f>IF(AND(INDEX(Galerias!$M$2:$M$37,MATCH(R$2,Galerias!$A$2:$A$37,0))&lt;&gt;"",$A23&gt;INDEX(Galerias!$M$2:$M$37,MATCH(R$2,Galerias!$A$2:$A$37,0))),"",ROUND(INDEX(Galerias!$N$2:$N$37,MATCH(R$2,Galerias!$A$2:$A$37,0))*INDEX(Galerias!$O$2:$O$37,MATCH(R$2,Galerias!$A$2:$A$37,0))^($A23-1),0))</f>
        <v/>
      </c>
      <c r="S23" s="43">
        <f>IF(AND(INDEX(Galerias!$M$2:$M$37,MATCH(S$2,Galerias!$A$2:$A$37,0))&lt;&gt;"",$A23&gt;INDEX(Galerias!$M$2:$M$37,MATCH(S$2,Galerias!$A$2:$A$37,0))),"",ROUND(INDEX(Galerias!$N$2:$N$37,MATCH(S$2,Galerias!$A$2:$A$37,0))*INDEX(Galerias!$O$2:$O$37,MATCH(S$2,Galerias!$A$2:$A$37,0))^($A23-1),0))</f>
        <v/>
      </c>
      <c r="T23" s="43">
        <f>IF(AND(INDEX(Galerias!$M$2:$M$37,MATCH(T$2,Galerias!$A$2:$A$37,0))&lt;&gt;"",$A23&gt;INDEX(Galerias!$M$2:$M$37,MATCH(T$2,Galerias!$A$2:$A$37,0))),"",ROUND(INDEX(Galerias!$N$2:$N$37,MATCH(T$2,Galerias!$A$2:$A$37,0))*INDEX(Galerias!$O$2:$O$37,MATCH(T$2,Galerias!$A$2:$A$37,0))^($A23-1),0))</f>
        <v/>
      </c>
      <c r="U23" s="43">
        <f>IF(AND(INDEX(Galerias!$M$2:$M$37,MATCH(U$2,Galerias!$A$2:$A$37,0))&lt;&gt;"",$A23&gt;INDEX(Galerias!$M$2:$M$37,MATCH(U$2,Galerias!$A$2:$A$37,0))),"",ROUND(INDEX(Galerias!$N$2:$N$37,MATCH(U$2,Galerias!$A$2:$A$37,0))*INDEX(Galerias!$O$2:$O$37,MATCH(U$2,Galerias!$A$2:$A$37,0))^($A23-1),0))</f>
        <v/>
      </c>
      <c r="V23" s="43">
        <f>IF(AND(INDEX(Galerias!$M$2:$M$37,MATCH(V$2,Galerias!$A$2:$A$37,0))&lt;&gt;"",$A23&gt;INDEX(Galerias!$M$2:$M$37,MATCH(V$2,Galerias!$A$2:$A$37,0))),"",ROUND(INDEX(Galerias!$N$2:$N$37,MATCH(V$2,Galerias!$A$2:$A$37,0))*INDEX(Galerias!$O$2:$O$37,MATCH(V$2,Galerias!$A$2:$A$37,0))^($A23-1),0))</f>
        <v/>
      </c>
      <c r="W23" s="43">
        <f>IF(AND(INDEX(Galerias!$M$2:$M$37,MATCH(W$2,Galerias!$A$2:$A$37,0))&lt;&gt;"",$A23&gt;INDEX(Galerias!$M$2:$M$37,MATCH(W$2,Galerias!$A$2:$A$37,0))),"",ROUND(INDEX(Galerias!$N$2:$N$37,MATCH(W$2,Galerias!$A$2:$A$37,0))*INDEX(Galerias!$O$2:$O$37,MATCH(W$2,Galerias!$A$2:$A$37,0))^($A23-1),0))</f>
        <v/>
      </c>
      <c r="X23" s="43">
        <f>IF(AND(INDEX(Galerias!$M$2:$M$37,MATCH(X$2,Galerias!$A$2:$A$37,0))&lt;&gt;"",$A23&gt;INDEX(Galerias!$M$2:$M$37,MATCH(X$2,Galerias!$A$2:$A$37,0))),"",ROUND(INDEX(Galerias!$N$2:$N$37,MATCH(X$2,Galerias!$A$2:$A$37,0))*INDEX(Galerias!$O$2:$O$37,MATCH(X$2,Galerias!$A$2:$A$37,0))^($A23-1),0))</f>
        <v/>
      </c>
      <c r="Y23" s="43">
        <f>IF(AND(INDEX(Galerias!$M$2:$M$37,MATCH(Y$2,Galerias!$A$2:$A$37,0))&lt;&gt;"",$A23&gt;INDEX(Galerias!$M$2:$M$37,MATCH(Y$2,Galerias!$A$2:$A$37,0))),"",ROUND(INDEX(Galerias!$N$2:$N$37,MATCH(Y$2,Galerias!$A$2:$A$37,0))*INDEX(Galerias!$O$2:$O$37,MATCH(Y$2,Galerias!$A$2:$A$37,0))^($A23-1),0))</f>
        <v/>
      </c>
      <c r="Z23" s="43">
        <f>IF(AND(INDEX(Galerias!$M$2:$M$37,MATCH(Z$2,Galerias!$A$2:$A$37,0))&lt;&gt;"",$A23&gt;INDEX(Galerias!$M$2:$M$37,MATCH(Z$2,Galerias!$A$2:$A$37,0))),"",ROUND(INDEX(Galerias!$N$2:$N$37,MATCH(Z$2,Galerias!$A$2:$A$37,0))*INDEX(Galerias!$O$2:$O$37,MATCH(Z$2,Galerias!$A$2:$A$37,0))^($A23-1),0))</f>
        <v/>
      </c>
      <c r="AA23" s="43">
        <f>IF(AND(INDEX(Galerias!$M$2:$M$37,MATCH(AA$2,Galerias!$A$2:$A$37,0))&lt;&gt;"",$A23&gt;INDEX(Galerias!$M$2:$M$37,MATCH(AA$2,Galerias!$A$2:$A$37,0))),"",ROUND(INDEX(Galerias!$N$2:$N$37,MATCH(AA$2,Galerias!$A$2:$A$37,0))*INDEX(Galerias!$O$2:$O$37,MATCH(AA$2,Galerias!$A$2:$A$37,0))^($A23-1),0))</f>
        <v/>
      </c>
      <c r="AB23" s="43">
        <f>IF(AND(INDEX(Galerias!$M$2:$M$37,MATCH(AB$2,Galerias!$A$2:$A$37,0))&lt;&gt;"",$A23&gt;INDEX(Galerias!$M$2:$M$37,MATCH(AB$2,Galerias!$A$2:$A$37,0))),"",ROUND(INDEX(Galerias!$N$2:$N$37,MATCH(AB$2,Galerias!$A$2:$A$37,0))*INDEX(Galerias!$O$2:$O$37,MATCH(AB$2,Galerias!$A$2:$A$37,0))^($A23-1),0))</f>
        <v/>
      </c>
      <c r="AC23" s="43">
        <f>IF(AND(INDEX(Galerias!$M$2:$M$37,MATCH(AC$2,Galerias!$A$2:$A$37,0))&lt;&gt;"",$A23&gt;INDEX(Galerias!$M$2:$M$37,MATCH(AC$2,Galerias!$A$2:$A$37,0))),"",ROUND(INDEX(Galerias!$N$2:$N$37,MATCH(AC$2,Galerias!$A$2:$A$37,0))*INDEX(Galerias!$O$2:$O$37,MATCH(AC$2,Galerias!$A$2:$A$37,0))^($A23-1),0))</f>
        <v/>
      </c>
      <c r="AD23" s="43">
        <f>IF(AND(INDEX(Galerias!$M$2:$M$37,MATCH(AD$2,Galerias!$A$2:$A$37,0))&lt;&gt;"",$A23&gt;INDEX(Galerias!$M$2:$M$37,MATCH(AD$2,Galerias!$A$2:$A$37,0))),"",ROUND(INDEX(Galerias!$N$2:$N$37,MATCH(AD$2,Galerias!$A$2:$A$37,0))*INDEX(Galerias!$O$2:$O$37,MATCH(AD$2,Galerias!$A$2:$A$37,0))^($A23-1),0))</f>
        <v/>
      </c>
      <c r="AE23" s="43">
        <f>IF(AND(INDEX(Galerias!$M$2:$M$37,MATCH(AE$2,Galerias!$A$2:$A$37,0))&lt;&gt;"",$A23&gt;INDEX(Galerias!$M$2:$M$37,MATCH(AE$2,Galerias!$A$2:$A$37,0))),"",ROUND(INDEX(Galerias!$N$2:$N$37,MATCH(AE$2,Galerias!$A$2:$A$37,0))*INDEX(Galerias!$O$2:$O$37,MATCH(AE$2,Galerias!$A$2:$A$37,0))^($A23-1),0))</f>
        <v/>
      </c>
      <c r="AF23" s="43">
        <f>IF(AND(INDEX(Galerias!$M$2:$M$37,MATCH(AF$2,Galerias!$A$2:$A$37,0))&lt;&gt;"",$A23&gt;INDEX(Galerias!$M$2:$M$37,MATCH(AF$2,Galerias!$A$2:$A$37,0))),"",ROUND(INDEX(Galerias!$N$2:$N$37,MATCH(AF$2,Galerias!$A$2:$A$37,0))*INDEX(Galerias!$O$2:$O$37,MATCH(AF$2,Galerias!$A$2:$A$37,0))^($A23-1),0))</f>
        <v/>
      </c>
      <c r="AG23" s="43">
        <f>IF(AND(INDEX(Galerias!$M$2:$M$37,MATCH(AG$2,Galerias!$A$2:$A$37,0))&lt;&gt;"",$A23&gt;INDEX(Galerias!$M$2:$M$37,MATCH(AG$2,Galerias!$A$2:$A$37,0))),"",ROUND(INDEX(Galerias!$N$2:$N$37,MATCH(AG$2,Galerias!$A$2:$A$37,0))*INDEX(Galerias!$O$2:$O$37,MATCH(AG$2,Galerias!$A$2:$A$37,0))^($A23-1),0))</f>
        <v/>
      </c>
      <c r="AH23" s="43">
        <f>IF(AND(INDEX(Galerias!$M$2:$M$37,MATCH(AH$2,Galerias!$A$2:$A$37,0))&lt;&gt;"",$A23&gt;INDEX(Galerias!$M$2:$M$37,MATCH(AH$2,Galerias!$A$2:$A$37,0))),"",ROUND(INDEX(Galerias!$N$2:$N$37,MATCH(AH$2,Galerias!$A$2:$A$37,0))*INDEX(Galerias!$O$2:$O$37,MATCH(AH$2,Galerias!$A$2:$A$37,0))^($A23-1),0))</f>
        <v/>
      </c>
      <c r="AI23" s="43">
        <f>IF(AND(INDEX(Galerias!$M$2:$M$37,MATCH(AI$2,Galerias!$A$2:$A$37,0))&lt;&gt;"",$A23&gt;INDEX(Galerias!$M$2:$M$37,MATCH(AI$2,Galerias!$A$2:$A$37,0))),"",ROUND(INDEX(Galerias!$N$2:$N$37,MATCH(AI$2,Galerias!$A$2:$A$37,0))*INDEX(Galerias!$O$2:$O$37,MATCH(AI$2,Galerias!$A$2:$A$37,0))^($A23-1),0))</f>
        <v/>
      </c>
      <c r="AJ23" s="43">
        <f>IF(AND(INDEX(Galerias!$M$2:$M$37,MATCH(AJ$2,Galerias!$A$2:$A$37,0))&lt;&gt;"",$A23&gt;INDEX(Galerias!$M$2:$M$37,MATCH(AJ$2,Galerias!$A$2:$A$37,0))),"",ROUND(INDEX(Galerias!$N$2:$N$37,MATCH(AJ$2,Galerias!$A$2:$A$37,0))*INDEX(Galerias!$O$2:$O$37,MATCH(AJ$2,Galerias!$A$2:$A$37,0))^($A23-1),0))</f>
        <v/>
      </c>
      <c r="AK23" s="43">
        <f>IF(AND(INDEX(Galerias!$M$2:$M$37,MATCH(AK$2,Galerias!$A$2:$A$37,0))&lt;&gt;"",$A23&gt;INDEX(Galerias!$M$2:$M$37,MATCH(AK$2,Galerias!$A$2:$A$37,0))),"",ROUND(INDEX(Galerias!$N$2:$N$37,MATCH(AK$2,Galerias!$A$2:$A$37,0))*INDEX(Galerias!$O$2:$O$37,MATCH(AK$2,Galerias!$A$2:$A$37,0))^($A23-1),0))</f>
        <v/>
      </c>
    </row>
    <row r="24" ht="15" customHeight="1" s="23">
      <c r="A24" s="25" t="n">
        <v>22</v>
      </c>
      <c r="B24" s="43">
        <f>IF(AND(INDEX(Galerias!$M$2:$M$37,MATCH(B$2,Galerias!$A$2:$A$37,0))&lt;&gt;"",$A24&gt;INDEX(Galerias!$M$2:$M$37,MATCH(B$2,Galerias!$A$2:$A$37,0))),"",ROUND(INDEX(Galerias!$N$2:$N$37,MATCH(B$2,Galerias!$A$2:$A$37,0))*INDEX(Galerias!$O$2:$O$37,MATCH(B$2,Galerias!$A$2:$A$37,0))^($A24-1),0))</f>
        <v/>
      </c>
      <c r="C24" s="43">
        <f>IF(AND(INDEX(Galerias!$M$2:$M$37,MATCH(C$2,Galerias!$A$2:$A$37,0))&lt;&gt;"",$A24&gt;INDEX(Galerias!$M$2:$M$37,MATCH(C$2,Galerias!$A$2:$A$37,0))),"",ROUND(INDEX(Galerias!$N$2:$N$37,MATCH(C$2,Galerias!$A$2:$A$37,0))*INDEX(Galerias!$O$2:$O$37,MATCH(C$2,Galerias!$A$2:$A$37,0))^($A24-1),0))</f>
        <v/>
      </c>
      <c r="D24" s="43">
        <f>IF(AND(INDEX(Galerias!$M$2:$M$37,MATCH(D$2,Galerias!$A$2:$A$37,0))&lt;&gt;"",$A24&gt;INDEX(Galerias!$M$2:$M$37,MATCH(D$2,Galerias!$A$2:$A$37,0))),"",ROUND(INDEX(Galerias!$N$2:$N$37,MATCH(D$2,Galerias!$A$2:$A$37,0))*INDEX(Galerias!$O$2:$O$37,MATCH(D$2,Galerias!$A$2:$A$37,0))^($A24-1),0))</f>
        <v/>
      </c>
      <c r="E24" s="43">
        <f>IF(AND(INDEX(Galerias!$M$2:$M$37,MATCH(E$2,Galerias!$A$2:$A$37,0))&lt;&gt;"",$A24&gt;INDEX(Galerias!$M$2:$M$37,MATCH(E$2,Galerias!$A$2:$A$37,0))),"",ROUND(INDEX(Galerias!$N$2:$N$37,MATCH(E$2,Galerias!$A$2:$A$37,0))*INDEX(Galerias!$O$2:$O$37,MATCH(E$2,Galerias!$A$2:$A$37,0))^($A24-1),0))</f>
        <v/>
      </c>
      <c r="F24" s="43">
        <f>IF(AND(INDEX(Galerias!$M$2:$M$37,MATCH(F$2,Galerias!$A$2:$A$37,0))&lt;&gt;"",$A24&gt;INDEX(Galerias!$M$2:$M$37,MATCH(F$2,Galerias!$A$2:$A$37,0))),"",ROUND(INDEX(Galerias!$N$2:$N$37,MATCH(F$2,Galerias!$A$2:$A$37,0))*INDEX(Galerias!$O$2:$O$37,MATCH(F$2,Galerias!$A$2:$A$37,0))^($A24-1),0))</f>
        <v/>
      </c>
      <c r="G24" s="43">
        <f>IF(AND(INDEX(Galerias!$M$2:$M$37,MATCH(G$2,Galerias!$A$2:$A$37,0))&lt;&gt;"",$A24&gt;INDEX(Galerias!$M$2:$M$37,MATCH(G$2,Galerias!$A$2:$A$37,0))),"",ROUND(INDEX(Galerias!$N$2:$N$37,MATCH(G$2,Galerias!$A$2:$A$37,0))*INDEX(Galerias!$O$2:$O$37,MATCH(G$2,Galerias!$A$2:$A$37,0))^($A24-1),0))</f>
        <v/>
      </c>
      <c r="H24" s="43">
        <f>IF(AND(INDEX(Galerias!$M$2:$M$37,MATCH(H$2,Galerias!$A$2:$A$37,0))&lt;&gt;"",$A24&gt;INDEX(Galerias!$M$2:$M$37,MATCH(H$2,Galerias!$A$2:$A$37,0))),"",ROUND(INDEX(Galerias!$N$2:$N$37,MATCH(H$2,Galerias!$A$2:$A$37,0))*INDEX(Galerias!$O$2:$O$37,MATCH(H$2,Galerias!$A$2:$A$37,0))^($A24-1),0))</f>
        <v/>
      </c>
      <c r="I24" s="43">
        <f>IF(AND(INDEX(Galerias!$M$2:$M$37,MATCH(I$2,Galerias!$A$2:$A$37,0))&lt;&gt;"",$A24&gt;INDEX(Galerias!$M$2:$M$37,MATCH(I$2,Galerias!$A$2:$A$37,0))),"",ROUND(INDEX(Galerias!$N$2:$N$37,MATCH(I$2,Galerias!$A$2:$A$37,0))*INDEX(Galerias!$O$2:$O$37,MATCH(I$2,Galerias!$A$2:$A$37,0))^($A24-1),0))</f>
        <v/>
      </c>
      <c r="J24" s="43">
        <f>IF(AND(INDEX(Galerias!$M$2:$M$37,MATCH(J$2,Galerias!$A$2:$A$37,0))&lt;&gt;"",$A24&gt;INDEX(Galerias!$M$2:$M$37,MATCH(J$2,Galerias!$A$2:$A$37,0))),"",ROUND(INDEX(Galerias!$N$2:$N$37,MATCH(J$2,Galerias!$A$2:$A$37,0))*INDEX(Galerias!$O$2:$O$37,MATCH(J$2,Galerias!$A$2:$A$37,0))^($A24-1),0))</f>
        <v/>
      </c>
      <c r="K24" s="43">
        <f>IF(AND(INDEX(Galerias!$M$2:$M$37,MATCH(K$2,Galerias!$A$2:$A$37,0))&lt;&gt;"",$A24&gt;INDEX(Galerias!$M$2:$M$37,MATCH(K$2,Galerias!$A$2:$A$37,0))),"",ROUND(INDEX(Galerias!$N$2:$N$37,MATCH(K$2,Galerias!$A$2:$A$37,0))*INDEX(Galerias!$O$2:$O$37,MATCH(K$2,Galerias!$A$2:$A$37,0))^($A24-1),0))</f>
        <v/>
      </c>
      <c r="L24" s="43">
        <f>IF(AND(INDEX(Galerias!$M$2:$M$37,MATCH(L$2,Galerias!$A$2:$A$37,0))&lt;&gt;"",$A24&gt;INDEX(Galerias!$M$2:$M$37,MATCH(L$2,Galerias!$A$2:$A$37,0))),"",ROUND(INDEX(Galerias!$N$2:$N$37,MATCH(L$2,Galerias!$A$2:$A$37,0))*INDEX(Galerias!$O$2:$O$37,MATCH(L$2,Galerias!$A$2:$A$37,0))^($A24-1),0))</f>
        <v/>
      </c>
      <c r="M24" s="43">
        <f>IF(AND(INDEX(Galerias!$M$2:$M$37,MATCH(M$2,Galerias!$A$2:$A$37,0))&lt;&gt;"",$A24&gt;INDEX(Galerias!$M$2:$M$37,MATCH(M$2,Galerias!$A$2:$A$37,0))),"",ROUND(INDEX(Galerias!$N$2:$N$37,MATCH(M$2,Galerias!$A$2:$A$37,0))*INDEX(Galerias!$O$2:$O$37,MATCH(M$2,Galerias!$A$2:$A$37,0))^($A24-1),0))</f>
        <v/>
      </c>
      <c r="N24" s="43">
        <f>IF(AND(INDEX(Galerias!$M$2:$M$37,MATCH(N$2,Galerias!$A$2:$A$37,0))&lt;&gt;"",$A24&gt;INDEX(Galerias!$M$2:$M$37,MATCH(N$2,Galerias!$A$2:$A$37,0))),"",ROUND(INDEX(Galerias!$N$2:$N$37,MATCH(N$2,Galerias!$A$2:$A$37,0))*INDEX(Galerias!$O$2:$O$37,MATCH(N$2,Galerias!$A$2:$A$37,0))^($A24-1),0))</f>
        <v/>
      </c>
      <c r="O24" s="43">
        <f>IF(AND(INDEX(Galerias!$M$2:$M$37,MATCH(O$2,Galerias!$A$2:$A$37,0))&lt;&gt;"",$A24&gt;INDEX(Galerias!$M$2:$M$37,MATCH(O$2,Galerias!$A$2:$A$37,0))),"",ROUND(INDEX(Galerias!$N$2:$N$37,MATCH(O$2,Galerias!$A$2:$A$37,0))*INDEX(Galerias!$O$2:$O$37,MATCH(O$2,Galerias!$A$2:$A$37,0))^($A24-1),0))</f>
        <v/>
      </c>
      <c r="P24" s="43">
        <f>IF(AND(INDEX(Galerias!$M$2:$M$37,MATCH(P$2,Galerias!$A$2:$A$37,0))&lt;&gt;"",$A24&gt;INDEX(Galerias!$M$2:$M$37,MATCH(P$2,Galerias!$A$2:$A$37,0))),"",ROUND(INDEX(Galerias!$N$2:$N$37,MATCH(P$2,Galerias!$A$2:$A$37,0))*INDEX(Galerias!$O$2:$O$37,MATCH(P$2,Galerias!$A$2:$A$37,0))^($A24-1),0))</f>
        <v/>
      </c>
      <c r="Q24" s="43">
        <f>IF(AND(INDEX(Galerias!$M$2:$M$37,MATCH(Q$2,Galerias!$A$2:$A$37,0))&lt;&gt;"",$A24&gt;INDEX(Galerias!$M$2:$M$37,MATCH(Q$2,Galerias!$A$2:$A$37,0))),"",ROUND(INDEX(Galerias!$N$2:$N$37,MATCH(Q$2,Galerias!$A$2:$A$37,0))*INDEX(Galerias!$O$2:$O$37,MATCH(Q$2,Galerias!$A$2:$A$37,0))^($A24-1),0))</f>
        <v/>
      </c>
      <c r="R24" s="43">
        <f>IF(AND(INDEX(Galerias!$M$2:$M$37,MATCH(R$2,Galerias!$A$2:$A$37,0))&lt;&gt;"",$A24&gt;INDEX(Galerias!$M$2:$M$37,MATCH(R$2,Galerias!$A$2:$A$37,0))),"",ROUND(INDEX(Galerias!$N$2:$N$37,MATCH(R$2,Galerias!$A$2:$A$37,0))*INDEX(Galerias!$O$2:$O$37,MATCH(R$2,Galerias!$A$2:$A$37,0))^($A24-1),0))</f>
        <v/>
      </c>
      <c r="S24" s="43">
        <f>IF(AND(INDEX(Galerias!$M$2:$M$37,MATCH(S$2,Galerias!$A$2:$A$37,0))&lt;&gt;"",$A24&gt;INDEX(Galerias!$M$2:$M$37,MATCH(S$2,Galerias!$A$2:$A$37,0))),"",ROUND(INDEX(Galerias!$N$2:$N$37,MATCH(S$2,Galerias!$A$2:$A$37,0))*INDEX(Galerias!$O$2:$O$37,MATCH(S$2,Galerias!$A$2:$A$37,0))^($A24-1),0))</f>
        <v/>
      </c>
      <c r="T24" s="43">
        <f>IF(AND(INDEX(Galerias!$M$2:$M$37,MATCH(T$2,Galerias!$A$2:$A$37,0))&lt;&gt;"",$A24&gt;INDEX(Galerias!$M$2:$M$37,MATCH(T$2,Galerias!$A$2:$A$37,0))),"",ROUND(INDEX(Galerias!$N$2:$N$37,MATCH(T$2,Galerias!$A$2:$A$37,0))*INDEX(Galerias!$O$2:$O$37,MATCH(T$2,Galerias!$A$2:$A$37,0))^($A24-1),0))</f>
        <v/>
      </c>
      <c r="U24" s="43">
        <f>IF(AND(INDEX(Galerias!$M$2:$M$37,MATCH(U$2,Galerias!$A$2:$A$37,0))&lt;&gt;"",$A24&gt;INDEX(Galerias!$M$2:$M$37,MATCH(U$2,Galerias!$A$2:$A$37,0))),"",ROUND(INDEX(Galerias!$N$2:$N$37,MATCH(U$2,Galerias!$A$2:$A$37,0))*INDEX(Galerias!$O$2:$O$37,MATCH(U$2,Galerias!$A$2:$A$37,0))^($A24-1),0))</f>
        <v/>
      </c>
      <c r="V24" s="43">
        <f>IF(AND(INDEX(Galerias!$M$2:$M$37,MATCH(V$2,Galerias!$A$2:$A$37,0))&lt;&gt;"",$A24&gt;INDEX(Galerias!$M$2:$M$37,MATCH(V$2,Galerias!$A$2:$A$37,0))),"",ROUND(INDEX(Galerias!$N$2:$N$37,MATCH(V$2,Galerias!$A$2:$A$37,0))*INDEX(Galerias!$O$2:$O$37,MATCH(V$2,Galerias!$A$2:$A$37,0))^($A24-1),0))</f>
        <v/>
      </c>
      <c r="W24" s="43">
        <f>IF(AND(INDEX(Galerias!$M$2:$M$37,MATCH(W$2,Galerias!$A$2:$A$37,0))&lt;&gt;"",$A24&gt;INDEX(Galerias!$M$2:$M$37,MATCH(W$2,Galerias!$A$2:$A$37,0))),"",ROUND(INDEX(Galerias!$N$2:$N$37,MATCH(W$2,Galerias!$A$2:$A$37,0))*INDEX(Galerias!$O$2:$O$37,MATCH(W$2,Galerias!$A$2:$A$37,0))^($A24-1),0))</f>
        <v/>
      </c>
      <c r="X24" s="43">
        <f>IF(AND(INDEX(Galerias!$M$2:$M$37,MATCH(X$2,Galerias!$A$2:$A$37,0))&lt;&gt;"",$A24&gt;INDEX(Galerias!$M$2:$M$37,MATCH(X$2,Galerias!$A$2:$A$37,0))),"",ROUND(INDEX(Galerias!$N$2:$N$37,MATCH(X$2,Galerias!$A$2:$A$37,0))*INDEX(Galerias!$O$2:$O$37,MATCH(X$2,Galerias!$A$2:$A$37,0))^($A24-1),0))</f>
        <v/>
      </c>
      <c r="Y24" s="43">
        <f>IF(AND(INDEX(Galerias!$M$2:$M$37,MATCH(Y$2,Galerias!$A$2:$A$37,0))&lt;&gt;"",$A24&gt;INDEX(Galerias!$M$2:$M$37,MATCH(Y$2,Galerias!$A$2:$A$37,0))),"",ROUND(INDEX(Galerias!$N$2:$N$37,MATCH(Y$2,Galerias!$A$2:$A$37,0))*INDEX(Galerias!$O$2:$O$37,MATCH(Y$2,Galerias!$A$2:$A$37,0))^($A24-1),0))</f>
        <v/>
      </c>
      <c r="Z24" s="43">
        <f>IF(AND(INDEX(Galerias!$M$2:$M$37,MATCH(Z$2,Galerias!$A$2:$A$37,0))&lt;&gt;"",$A24&gt;INDEX(Galerias!$M$2:$M$37,MATCH(Z$2,Galerias!$A$2:$A$37,0))),"",ROUND(INDEX(Galerias!$N$2:$N$37,MATCH(Z$2,Galerias!$A$2:$A$37,0))*INDEX(Galerias!$O$2:$O$37,MATCH(Z$2,Galerias!$A$2:$A$37,0))^($A24-1),0))</f>
        <v/>
      </c>
      <c r="AA24" s="43">
        <f>IF(AND(INDEX(Galerias!$M$2:$M$37,MATCH(AA$2,Galerias!$A$2:$A$37,0))&lt;&gt;"",$A24&gt;INDEX(Galerias!$M$2:$M$37,MATCH(AA$2,Galerias!$A$2:$A$37,0))),"",ROUND(INDEX(Galerias!$N$2:$N$37,MATCH(AA$2,Galerias!$A$2:$A$37,0))*INDEX(Galerias!$O$2:$O$37,MATCH(AA$2,Galerias!$A$2:$A$37,0))^($A24-1),0))</f>
        <v/>
      </c>
      <c r="AB24" s="43">
        <f>IF(AND(INDEX(Galerias!$M$2:$M$37,MATCH(AB$2,Galerias!$A$2:$A$37,0))&lt;&gt;"",$A24&gt;INDEX(Galerias!$M$2:$M$37,MATCH(AB$2,Galerias!$A$2:$A$37,0))),"",ROUND(INDEX(Galerias!$N$2:$N$37,MATCH(AB$2,Galerias!$A$2:$A$37,0))*INDEX(Galerias!$O$2:$O$37,MATCH(AB$2,Galerias!$A$2:$A$37,0))^($A24-1),0))</f>
        <v/>
      </c>
      <c r="AC24" s="43">
        <f>IF(AND(INDEX(Galerias!$M$2:$M$37,MATCH(AC$2,Galerias!$A$2:$A$37,0))&lt;&gt;"",$A24&gt;INDEX(Galerias!$M$2:$M$37,MATCH(AC$2,Galerias!$A$2:$A$37,0))),"",ROUND(INDEX(Galerias!$N$2:$N$37,MATCH(AC$2,Galerias!$A$2:$A$37,0))*INDEX(Galerias!$O$2:$O$37,MATCH(AC$2,Galerias!$A$2:$A$37,0))^($A24-1),0))</f>
        <v/>
      </c>
      <c r="AD24" s="43">
        <f>IF(AND(INDEX(Galerias!$M$2:$M$37,MATCH(AD$2,Galerias!$A$2:$A$37,0))&lt;&gt;"",$A24&gt;INDEX(Galerias!$M$2:$M$37,MATCH(AD$2,Galerias!$A$2:$A$37,0))),"",ROUND(INDEX(Galerias!$N$2:$N$37,MATCH(AD$2,Galerias!$A$2:$A$37,0))*INDEX(Galerias!$O$2:$O$37,MATCH(AD$2,Galerias!$A$2:$A$37,0))^($A24-1),0))</f>
        <v/>
      </c>
      <c r="AE24" s="43">
        <f>IF(AND(INDEX(Galerias!$M$2:$M$37,MATCH(AE$2,Galerias!$A$2:$A$37,0))&lt;&gt;"",$A24&gt;INDEX(Galerias!$M$2:$M$37,MATCH(AE$2,Galerias!$A$2:$A$37,0))),"",ROUND(INDEX(Galerias!$N$2:$N$37,MATCH(AE$2,Galerias!$A$2:$A$37,0))*INDEX(Galerias!$O$2:$O$37,MATCH(AE$2,Galerias!$A$2:$A$37,0))^($A24-1),0))</f>
        <v/>
      </c>
      <c r="AF24" s="43">
        <f>IF(AND(INDEX(Galerias!$M$2:$M$37,MATCH(AF$2,Galerias!$A$2:$A$37,0))&lt;&gt;"",$A24&gt;INDEX(Galerias!$M$2:$M$37,MATCH(AF$2,Galerias!$A$2:$A$37,0))),"",ROUND(INDEX(Galerias!$N$2:$N$37,MATCH(AF$2,Galerias!$A$2:$A$37,0))*INDEX(Galerias!$O$2:$O$37,MATCH(AF$2,Galerias!$A$2:$A$37,0))^($A24-1),0))</f>
        <v/>
      </c>
      <c r="AG24" s="43">
        <f>IF(AND(INDEX(Galerias!$M$2:$M$37,MATCH(AG$2,Galerias!$A$2:$A$37,0))&lt;&gt;"",$A24&gt;INDEX(Galerias!$M$2:$M$37,MATCH(AG$2,Galerias!$A$2:$A$37,0))),"",ROUND(INDEX(Galerias!$N$2:$N$37,MATCH(AG$2,Galerias!$A$2:$A$37,0))*INDEX(Galerias!$O$2:$O$37,MATCH(AG$2,Galerias!$A$2:$A$37,0))^($A24-1),0))</f>
        <v/>
      </c>
      <c r="AH24" s="43">
        <f>IF(AND(INDEX(Galerias!$M$2:$M$37,MATCH(AH$2,Galerias!$A$2:$A$37,0))&lt;&gt;"",$A24&gt;INDEX(Galerias!$M$2:$M$37,MATCH(AH$2,Galerias!$A$2:$A$37,0))),"",ROUND(INDEX(Galerias!$N$2:$N$37,MATCH(AH$2,Galerias!$A$2:$A$37,0))*INDEX(Galerias!$O$2:$O$37,MATCH(AH$2,Galerias!$A$2:$A$37,0))^($A24-1),0))</f>
        <v/>
      </c>
      <c r="AI24" s="43">
        <f>IF(AND(INDEX(Galerias!$M$2:$M$37,MATCH(AI$2,Galerias!$A$2:$A$37,0))&lt;&gt;"",$A24&gt;INDEX(Galerias!$M$2:$M$37,MATCH(AI$2,Galerias!$A$2:$A$37,0))),"",ROUND(INDEX(Galerias!$N$2:$N$37,MATCH(AI$2,Galerias!$A$2:$A$37,0))*INDEX(Galerias!$O$2:$O$37,MATCH(AI$2,Galerias!$A$2:$A$37,0))^($A24-1),0))</f>
        <v/>
      </c>
      <c r="AJ24" s="43">
        <f>IF(AND(INDEX(Galerias!$M$2:$M$37,MATCH(AJ$2,Galerias!$A$2:$A$37,0))&lt;&gt;"",$A24&gt;INDEX(Galerias!$M$2:$M$37,MATCH(AJ$2,Galerias!$A$2:$A$37,0))),"",ROUND(INDEX(Galerias!$N$2:$N$37,MATCH(AJ$2,Galerias!$A$2:$A$37,0))*INDEX(Galerias!$O$2:$O$37,MATCH(AJ$2,Galerias!$A$2:$A$37,0))^($A24-1),0))</f>
        <v/>
      </c>
      <c r="AK24" s="43">
        <f>IF(AND(INDEX(Galerias!$M$2:$M$37,MATCH(AK$2,Galerias!$A$2:$A$37,0))&lt;&gt;"",$A24&gt;INDEX(Galerias!$M$2:$M$37,MATCH(AK$2,Galerias!$A$2:$A$37,0))),"",ROUND(INDEX(Galerias!$N$2:$N$37,MATCH(AK$2,Galerias!$A$2:$A$37,0))*INDEX(Galerias!$O$2:$O$37,MATCH(AK$2,Galerias!$A$2:$A$37,0))^($A24-1),0))</f>
        <v/>
      </c>
    </row>
    <row r="25" ht="15" customHeight="1" s="23">
      <c r="A25" s="25" t="n">
        <v>23</v>
      </c>
      <c r="B25" s="43">
        <f>IF(AND(INDEX(Galerias!$M$2:$M$37,MATCH(B$2,Galerias!$A$2:$A$37,0))&lt;&gt;"",$A25&gt;INDEX(Galerias!$M$2:$M$37,MATCH(B$2,Galerias!$A$2:$A$37,0))),"",ROUND(INDEX(Galerias!$N$2:$N$37,MATCH(B$2,Galerias!$A$2:$A$37,0))*INDEX(Galerias!$O$2:$O$37,MATCH(B$2,Galerias!$A$2:$A$37,0))^($A25-1),0))</f>
        <v/>
      </c>
      <c r="C25" s="43">
        <f>IF(AND(INDEX(Galerias!$M$2:$M$37,MATCH(C$2,Galerias!$A$2:$A$37,0))&lt;&gt;"",$A25&gt;INDEX(Galerias!$M$2:$M$37,MATCH(C$2,Galerias!$A$2:$A$37,0))),"",ROUND(INDEX(Galerias!$N$2:$N$37,MATCH(C$2,Galerias!$A$2:$A$37,0))*INDEX(Galerias!$O$2:$O$37,MATCH(C$2,Galerias!$A$2:$A$37,0))^($A25-1),0))</f>
        <v/>
      </c>
      <c r="D25" s="43">
        <f>IF(AND(INDEX(Galerias!$M$2:$M$37,MATCH(D$2,Galerias!$A$2:$A$37,0))&lt;&gt;"",$A25&gt;INDEX(Galerias!$M$2:$M$37,MATCH(D$2,Galerias!$A$2:$A$37,0))),"",ROUND(INDEX(Galerias!$N$2:$N$37,MATCH(D$2,Galerias!$A$2:$A$37,0))*INDEX(Galerias!$O$2:$O$37,MATCH(D$2,Galerias!$A$2:$A$37,0))^($A25-1),0))</f>
        <v/>
      </c>
      <c r="E25" s="43">
        <f>IF(AND(INDEX(Galerias!$M$2:$M$37,MATCH(E$2,Galerias!$A$2:$A$37,0))&lt;&gt;"",$A25&gt;INDEX(Galerias!$M$2:$M$37,MATCH(E$2,Galerias!$A$2:$A$37,0))),"",ROUND(INDEX(Galerias!$N$2:$N$37,MATCH(E$2,Galerias!$A$2:$A$37,0))*INDEX(Galerias!$O$2:$O$37,MATCH(E$2,Galerias!$A$2:$A$37,0))^($A25-1),0))</f>
        <v/>
      </c>
      <c r="F25" s="43">
        <f>IF(AND(INDEX(Galerias!$M$2:$M$37,MATCH(F$2,Galerias!$A$2:$A$37,0))&lt;&gt;"",$A25&gt;INDEX(Galerias!$M$2:$M$37,MATCH(F$2,Galerias!$A$2:$A$37,0))),"",ROUND(INDEX(Galerias!$N$2:$N$37,MATCH(F$2,Galerias!$A$2:$A$37,0))*INDEX(Galerias!$O$2:$O$37,MATCH(F$2,Galerias!$A$2:$A$37,0))^($A25-1),0))</f>
        <v/>
      </c>
      <c r="G25" s="43">
        <f>IF(AND(INDEX(Galerias!$M$2:$M$37,MATCH(G$2,Galerias!$A$2:$A$37,0))&lt;&gt;"",$A25&gt;INDEX(Galerias!$M$2:$M$37,MATCH(G$2,Galerias!$A$2:$A$37,0))),"",ROUND(INDEX(Galerias!$N$2:$N$37,MATCH(G$2,Galerias!$A$2:$A$37,0))*INDEX(Galerias!$O$2:$O$37,MATCH(G$2,Galerias!$A$2:$A$37,0))^($A25-1),0))</f>
        <v/>
      </c>
      <c r="H25" s="43">
        <f>IF(AND(INDEX(Galerias!$M$2:$M$37,MATCH(H$2,Galerias!$A$2:$A$37,0))&lt;&gt;"",$A25&gt;INDEX(Galerias!$M$2:$M$37,MATCH(H$2,Galerias!$A$2:$A$37,0))),"",ROUND(INDEX(Galerias!$N$2:$N$37,MATCH(H$2,Galerias!$A$2:$A$37,0))*INDEX(Galerias!$O$2:$O$37,MATCH(H$2,Galerias!$A$2:$A$37,0))^($A25-1),0))</f>
        <v/>
      </c>
      <c r="I25" s="43">
        <f>IF(AND(INDEX(Galerias!$M$2:$M$37,MATCH(I$2,Galerias!$A$2:$A$37,0))&lt;&gt;"",$A25&gt;INDEX(Galerias!$M$2:$M$37,MATCH(I$2,Galerias!$A$2:$A$37,0))),"",ROUND(INDEX(Galerias!$N$2:$N$37,MATCH(I$2,Galerias!$A$2:$A$37,0))*INDEX(Galerias!$O$2:$O$37,MATCH(I$2,Galerias!$A$2:$A$37,0))^($A25-1),0))</f>
        <v/>
      </c>
      <c r="J25" s="43">
        <f>IF(AND(INDEX(Galerias!$M$2:$M$37,MATCH(J$2,Galerias!$A$2:$A$37,0))&lt;&gt;"",$A25&gt;INDEX(Galerias!$M$2:$M$37,MATCH(J$2,Galerias!$A$2:$A$37,0))),"",ROUND(INDEX(Galerias!$N$2:$N$37,MATCH(J$2,Galerias!$A$2:$A$37,0))*INDEX(Galerias!$O$2:$O$37,MATCH(J$2,Galerias!$A$2:$A$37,0))^($A25-1),0))</f>
        <v/>
      </c>
      <c r="K25" s="43">
        <f>IF(AND(INDEX(Galerias!$M$2:$M$37,MATCH(K$2,Galerias!$A$2:$A$37,0))&lt;&gt;"",$A25&gt;INDEX(Galerias!$M$2:$M$37,MATCH(K$2,Galerias!$A$2:$A$37,0))),"",ROUND(INDEX(Galerias!$N$2:$N$37,MATCH(K$2,Galerias!$A$2:$A$37,0))*INDEX(Galerias!$O$2:$O$37,MATCH(K$2,Galerias!$A$2:$A$37,0))^($A25-1),0))</f>
        <v/>
      </c>
      <c r="L25" s="43">
        <f>IF(AND(INDEX(Galerias!$M$2:$M$37,MATCH(L$2,Galerias!$A$2:$A$37,0))&lt;&gt;"",$A25&gt;INDEX(Galerias!$M$2:$M$37,MATCH(L$2,Galerias!$A$2:$A$37,0))),"",ROUND(INDEX(Galerias!$N$2:$N$37,MATCH(L$2,Galerias!$A$2:$A$37,0))*INDEX(Galerias!$O$2:$O$37,MATCH(L$2,Galerias!$A$2:$A$37,0))^($A25-1),0))</f>
        <v/>
      </c>
      <c r="M25" s="43">
        <f>IF(AND(INDEX(Galerias!$M$2:$M$37,MATCH(M$2,Galerias!$A$2:$A$37,0))&lt;&gt;"",$A25&gt;INDEX(Galerias!$M$2:$M$37,MATCH(M$2,Galerias!$A$2:$A$37,0))),"",ROUND(INDEX(Galerias!$N$2:$N$37,MATCH(M$2,Galerias!$A$2:$A$37,0))*INDEX(Galerias!$O$2:$O$37,MATCH(M$2,Galerias!$A$2:$A$37,0))^($A25-1),0))</f>
        <v/>
      </c>
      <c r="N25" s="43">
        <f>IF(AND(INDEX(Galerias!$M$2:$M$37,MATCH(N$2,Galerias!$A$2:$A$37,0))&lt;&gt;"",$A25&gt;INDEX(Galerias!$M$2:$M$37,MATCH(N$2,Galerias!$A$2:$A$37,0))),"",ROUND(INDEX(Galerias!$N$2:$N$37,MATCH(N$2,Galerias!$A$2:$A$37,0))*INDEX(Galerias!$O$2:$O$37,MATCH(N$2,Galerias!$A$2:$A$37,0))^($A25-1),0))</f>
        <v/>
      </c>
      <c r="O25" s="43">
        <f>IF(AND(INDEX(Galerias!$M$2:$M$37,MATCH(O$2,Galerias!$A$2:$A$37,0))&lt;&gt;"",$A25&gt;INDEX(Galerias!$M$2:$M$37,MATCH(O$2,Galerias!$A$2:$A$37,0))),"",ROUND(INDEX(Galerias!$N$2:$N$37,MATCH(O$2,Galerias!$A$2:$A$37,0))*INDEX(Galerias!$O$2:$O$37,MATCH(O$2,Galerias!$A$2:$A$37,0))^($A25-1),0))</f>
        <v/>
      </c>
      <c r="P25" s="43">
        <f>IF(AND(INDEX(Galerias!$M$2:$M$37,MATCH(P$2,Galerias!$A$2:$A$37,0))&lt;&gt;"",$A25&gt;INDEX(Galerias!$M$2:$M$37,MATCH(P$2,Galerias!$A$2:$A$37,0))),"",ROUND(INDEX(Galerias!$N$2:$N$37,MATCH(P$2,Galerias!$A$2:$A$37,0))*INDEX(Galerias!$O$2:$O$37,MATCH(P$2,Galerias!$A$2:$A$37,0))^($A25-1),0))</f>
        <v/>
      </c>
      <c r="Q25" s="43">
        <f>IF(AND(INDEX(Galerias!$M$2:$M$37,MATCH(Q$2,Galerias!$A$2:$A$37,0))&lt;&gt;"",$A25&gt;INDEX(Galerias!$M$2:$M$37,MATCH(Q$2,Galerias!$A$2:$A$37,0))),"",ROUND(INDEX(Galerias!$N$2:$N$37,MATCH(Q$2,Galerias!$A$2:$A$37,0))*INDEX(Galerias!$O$2:$O$37,MATCH(Q$2,Galerias!$A$2:$A$37,0))^($A25-1),0))</f>
        <v/>
      </c>
      <c r="R25" s="43">
        <f>IF(AND(INDEX(Galerias!$M$2:$M$37,MATCH(R$2,Galerias!$A$2:$A$37,0))&lt;&gt;"",$A25&gt;INDEX(Galerias!$M$2:$M$37,MATCH(R$2,Galerias!$A$2:$A$37,0))),"",ROUND(INDEX(Galerias!$N$2:$N$37,MATCH(R$2,Galerias!$A$2:$A$37,0))*INDEX(Galerias!$O$2:$O$37,MATCH(R$2,Galerias!$A$2:$A$37,0))^($A25-1),0))</f>
        <v/>
      </c>
      <c r="S25" s="43">
        <f>IF(AND(INDEX(Galerias!$M$2:$M$37,MATCH(S$2,Galerias!$A$2:$A$37,0))&lt;&gt;"",$A25&gt;INDEX(Galerias!$M$2:$M$37,MATCH(S$2,Galerias!$A$2:$A$37,0))),"",ROUND(INDEX(Galerias!$N$2:$N$37,MATCH(S$2,Galerias!$A$2:$A$37,0))*INDEX(Galerias!$O$2:$O$37,MATCH(S$2,Galerias!$A$2:$A$37,0))^($A25-1),0))</f>
        <v/>
      </c>
      <c r="T25" s="43">
        <f>IF(AND(INDEX(Galerias!$M$2:$M$37,MATCH(T$2,Galerias!$A$2:$A$37,0))&lt;&gt;"",$A25&gt;INDEX(Galerias!$M$2:$M$37,MATCH(T$2,Galerias!$A$2:$A$37,0))),"",ROUND(INDEX(Galerias!$N$2:$N$37,MATCH(T$2,Galerias!$A$2:$A$37,0))*INDEX(Galerias!$O$2:$O$37,MATCH(T$2,Galerias!$A$2:$A$37,0))^($A25-1),0))</f>
        <v/>
      </c>
      <c r="U25" s="43">
        <f>IF(AND(INDEX(Galerias!$M$2:$M$37,MATCH(U$2,Galerias!$A$2:$A$37,0))&lt;&gt;"",$A25&gt;INDEX(Galerias!$M$2:$M$37,MATCH(U$2,Galerias!$A$2:$A$37,0))),"",ROUND(INDEX(Galerias!$N$2:$N$37,MATCH(U$2,Galerias!$A$2:$A$37,0))*INDEX(Galerias!$O$2:$O$37,MATCH(U$2,Galerias!$A$2:$A$37,0))^($A25-1),0))</f>
        <v/>
      </c>
      <c r="V25" s="43">
        <f>IF(AND(INDEX(Galerias!$M$2:$M$37,MATCH(V$2,Galerias!$A$2:$A$37,0))&lt;&gt;"",$A25&gt;INDEX(Galerias!$M$2:$M$37,MATCH(V$2,Galerias!$A$2:$A$37,0))),"",ROUND(INDEX(Galerias!$N$2:$N$37,MATCH(V$2,Galerias!$A$2:$A$37,0))*INDEX(Galerias!$O$2:$O$37,MATCH(V$2,Galerias!$A$2:$A$37,0))^($A25-1),0))</f>
        <v/>
      </c>
      <c r="W25" s="43">
        <f>IF(AND(INDEX(Galerias!$M$2:$M$37,MATCH(W$2,Galerias!$A$2:$A$37,0))&lt;&gt;"",$A25&gt;INDEX(Galerias!$M$2:$M$37,MATCH(W$2,Galerias!$A$2:$A$37,0))),"",ROUND(INDEX(Galerias!$N$2:$N$37,MATCH(W$2,Galerias!$A$2:$A$37,0))*INDEX(Galerias!$O$2:$O$37,MATCH(W$2,Galerias!$A$2:$A$37,0))^($A25-1),0))</f>
        <v/>
      </c>
      <c r="X25" s="43">
        <f>IF(AND(INDEX(Galerias!$M$2:$M$37,MATCH(X$2,Galerias!$A$2:$A$37,0))&lt;&gt;"",$A25&gt;INDEX(Galerias!$M$2:$M$37,MATCH(X$2,Galerias!$A$2:$A$37,0))),"",ROUND(INDEX(Galerias!$N$2:$N$37,MATCH(X$2,Galerias!$A$2:$A$37,0))*INDEX(Galerias!$O$2:$O$37,MATCH(X$2,Galerias!$A$2:$A$37,0))^($A25-1),0))</f>
        <v/>
      </c>
      <c r="Y25" s="43">
        <f>IF(AND(INDEX(Galerias!$M$2:$M$37,MATCH(Y$2,Galerias!$A$2:$A$37,0))&lt;&gt;"",$A25&gt;INDEX(Galerias!$M$2:$M$37,MATCH(Y$2,Galerias!$A$2:$A$37,0))),"",ROUND(INDEX(Galerias!$N$2:$N$37,MATCH(Y$2,Galerias!$A$2:$A$37,0))*INDEX(Galerias!$O$2:$O$37,MATCH(Y$2,Galerias!$A$2:$A$37,0))^($A25-1),0))</f>
        <v/>
      </c>
      <c r="Z25" s="43">
        <f>IF(AND(INDEX(Galerias!$M$2:$M$37,MATCH(Z$2,Galerias!$A$2:$A$37,0))&lt;&gt;"",$A25&gt;INDEX(Galerias!$M$2:$M$37,MATCH(Z$2,Galerias!$A$2:$A$37,0))),"",ROUND(INDEX(Galerias!$N$2:$N$37,MATCH(Z$2,Galerias!$A$2:$A$37,0))*INDEX(Galerias!$O$2:$O$37,MATCH(Z$2,Galerias!$A$2:$A$37,0))^($A25-1),0))</f>
        <v/>
      </c>
      <c r="AA25" s="43">
        <f>IF(AND(INDEX(Galerias!$M$2:$M$37,MATCH(AA$2,Galerias!$A$2:$A$37,0))&lt;&gt;"",$A25&gt;INDEX(Galerias!$M$2:$M$37,MATCH(AA$2,Galerias!$A$2:$A$37,0))),"",ROUND(INDEX(Galerias!$N$2:$N$37,MATCH(AA$2,Galerias!$A$2:$A$37,0))*INDEX(Galerias!$O$2:$O$37,MATCH(AA$2,Galerias!$A$2:$A$37,0))^($A25-1),0))</f>
        <v/>
      </c>
      <c r="AB25" s="43">
        <f>IF(AND(INDEX(Galerias!$M$2:$M$37,MATCH(AB$2,Galerias!$A$2:$A$37,0))&lt;&gt;"",$A25&gt;INDEX(Galerias!$M$2:$M$37,MATCH(AB$2,Galerias!$A$2:$A$37,0))),"",ROUND(INDEX(Galerias!$N$2:$N$37,MATCH(AB$2,Galerias!$A$2:$A$37,0))*INDEX(Galerias!$O$2:$O$37,MATCH(AB$2,Galerias!$A$2:$A$37,0))^($A25-1),0))</f>
        <v/>
      </c>
      <c r="AC25" s="43">
        <f>IF(AND(INDEX(Galerias!$M$2:$M$37,MATCH(AC$2,Galerias!$A$2:$A$37,0))&lt;&gt;"",$A25&gt;INDEX(Galerias!$M$2:$M$37,MATCH(AC$2,Galerias!$A$2:$A$37,0))),"",ROUND(INDEX(Galerias!$N$2:$N$37,MATCH(AC$2,Galerias!$A$2:$A$37,0))*INDEX(Galerias!$O$2:$O$37,MATCH(AC$2,Galerias!$A$2:$A$37,0))^($A25-1),0))</f>
        <v/>
      </c>
      <c r="AD25" s="43">
        <f>IF(AND(INDEX(Galerias!$M$2:$M$37,MATCH(AD$2,Galerias!$A$2:$A$37,0))&lt;&gt;"",$A25&gt;INDEX(Galerias!$M$2:$M$37,MATCH(AD$2,Galerias!$A$2:$A$37,0))),"",ROUND(INDEX(Galerias!$N$2:$N$37,MATCH(AD$2,Galerias!$A$2:$A$37,0))*INDEX(Galerias!$O$2:$O$37,MATCH(AD$2,Galerias!$A$2:$A$37,0))^($A25-1),0))</f>
        <v/>
      </c>
      <c r="AE25" s="43">
        <f>IF(AND(INDEX(Galerias!$M$2:$M$37,MATCH(AE$2,Galerias!$A$2:$A$37,0))&lt;&gt;"",$A25&gt;INDEX(Galerias!$M$2:$M$37,MATCH(AE$2,Galerias!$A$2:$A$37,0))),"",ROUND(INDEX(Galerias!$N$2:$N$37,MATCH(AE$2,Galerias!$A$2:$A$37,0))*INDEX(Galerias!$O$2:$O$37,MATCH(AE$2,Galerias!$A$2:$A$37,0))^($A25-1),0))</f>
        <v/>
      </c>
      <c r="AF25" s="43">
        <f>IF(AND(INDEX(Galerias!$M$2:$M$37,MATCH(AF$2,Galerias!$A$2:$A$37,0))&lt;&gt;"",$A25&gt;INDEX(Galerias!$M$2:$M$37,MATCH(AF$2,Galerias!$A$2:$A$37,0))),"",ROUND(INDEX(Galerias!$N$2:$N$37,MATCH(AF$2,Galerias!$A$2:$A$37,0))*INDEX(Galerias!$O$2:$O$37,MATCH(AF$2,Galerias!$A$2:$A$37,0))^($A25-1),0))</f>
        <v/>
      </c>
      <c r="AG25" s="43">
        <f>IF(AND(INDEX(Galerias!$M$2:$M$37,MATCH(AG$2,Galerias!$A$2:$A$37,0))&lt;&gt;"",$A25&gt;INDEX(Galerias!$M$2:$M$37,MATCH(AG$2,Galerias!$A$2:$A$37,0))),"",ROUND(INDEX(Galerias!$N$2:$N$37,MATCH(AG$2,Galerias!$A$2:$A$37,0))*INDEX(Galerias!$O$2:$O$37,MATCH(AG$2,Galerias!$A$2:$A$37,0))^($A25-1),0))</f>
        <v/>
      </c>
      <c r="AH25" s="43">
        <f>IF(AND(INDEX(Galerias!$M$2:$M$37,MATCH(AH$2,Galerias!$A$2:$A$37,0))&lt;&gt;"",$A25&gt;INDEX(Galerias!$M$2:$M$37,MATCH(AH$2,Galerias!$A$2:$A$37,0))),"",ROUND(INDEX(Galerias!$N$2:$N$37,MATCH(AH$2,Galerias!$A$2:$A$37,0))*INDEX(Galerias!$O$2:$O$37,MATCH(AH$2,Galerias!$A$2:$A$37,0))^($A25-1),0))</f>
        <v/>
      </c>
      <c r="AI25" s="43">
        <f>IF(AND(INDEX(Galerias!$M$2:$M$37,MATCH(AI$2,Galerias!$A$2:$A$37,0))&lt;&gt;"",$A25&gt;INDEX(Galerias!$M$2:$M$37,MATCH(AI$2,Galerias!$A$2:$A$37,0))),"",ROUND(INDEX(Galerias!$N$2:$N$37,MATCH(AI$2,Galerias!$A$2:$A$37,0))*INDEX(Galerias!$O$2:$O$37,MATCH(AI$2,Galerias!$A$2:$A$37,0))^($A25-1),0))</f>
        <v/>
      </c>
      <c r="AJ25" s="43">
        <f>IF(AND(INDEX(Galerias!$M$2:$M$37,MATCH(AJ$2,Galerias!$A$2:$A$37,0))&lt;&gt;"",$A25&gt;INDEX(Galerias!$M$2:$M$37,MATCH(AJ$2,Galerias!$A$2:$A$37,0))),"",ROUND(INDEX(Galerias!$N$2:$N$37,MATCH(AJ$2,Galerias!$A$2:$A$37,0))*INDEX(Galerias!$O$2:$O$37,MATCH(AJ$2,Galerias!$A$2:$A$37,0))^($A25-1),0))</f>
        <v/>
      </c>
      <c r="AK25" s="43">
        <f>IF(AND(INDEX(Galerias!$M$2:$M$37,MATCH(AK$2,Galerias!$A$2:$A$37,0))&lt;&gt;"",$A25&gt;INDEX(Galerias!$M$2:$M$37,MATCH(AK$2,Galerias!$A$2:$A$37,0))),"",ROUND(INDEX(Galerias!$N$2:$N$37,MATCH(AK$2,Galerias!$A$2:$A$37,0))*INDEX(Galerias!$O$2:$O$37,MATCH(AK$2,Galerias!$A$2:$A$37,0))^($A25-1),0))</f>
        <v/>
      </c>
    </row>
    <row r="26" ht="15" customHeight="1" s="23">
      <c r="A26" s="25" t="n">
        <v>24</v>
      </c>
      <c r="B26" s="43">
        <f>IF(AND(INDEX(Galerias!$M$2:$M$37,MATCH(B$2,Galerias!$A$2:$A$37,0))&lt;&gt;"",$A26&gt;INDEX(Galerias!$M$2:$M$37,MATCH(B$2,Galerias!$A$2:$A$37,0))),"",ROUND(INDEX(Galerias!$N$2:$N$37,MATCH(B$2,Galerias!$A$2:$A$37,0))*INDEX(Galerias!$O$2:$O$37,MATCH(B$2,Galerias!$A$2:$A$37,0))^($A26-1),0))</f>
        <v/>
      </c>
      <c r="C26" s="43">
        <f>IF(AND(INDEX(Galerias!$M$2:$M$37,MATCH(C$2,Galerias!$A$2:$A$37,0))&lt;&gt;"",$A26&gt;INDEX(Galerias!$M$2:$M$37,MATCH(C$2,Galerias!$A$2:$A$37,0))),"",ROUND(INDEX(Galerias!$N$2:$N$37,MATCH(C$2,Galerias!$A$2:$A$37,0))*INDEX(Galerias!$O$2:$O$37,MATCH(C$2,Galerias!$A$2:$A$37,0))^($A26-1),0))</f>
        <v/>
      </c>
      <c r="D26" s="43">
        <f>IF(AND(INDEX(Galerias!$M$2:$M$37,MATCH(D$2,Galerias!$A$2:$A$37,0))&lt;&gt;"",$A26&gt;INDEX(Galerias!$M$2:$M$37,MATCH(D$2,Galerias!$A$2:$A$37,0))),"",ROUND(INDEX(Galerias!$N$2:$N$37,MATCH(D$2,Galerias!$A$2:$A$37,0))*INDEX(Galerias!$O$2:$O$37,MATCH(D$2,Galerias!$A$2:$A$37,0))^($A26-1),0))</f>
        <v/>
      </c>
      <c r="E26" s="43">
        <f>IF(AND(INDEX(Galerias!$M$2:$M$37,MATCH(E$2,Galerias!$A$2:$A$37,0))&lt;&gt;"",$A26&gt;INDEX(Galerias!$M$2:$M$37,MATCH(E$2,Galerias!$A$2:$A$37,0))),"",ROUND(INDEX(Galerias!$N$2:$N$37,MATCH(E$2,Galerias!$A$2:$A$37,0))*INDEX(Galerias!$O$2:$O$37,MATCH(E$2,Galerias!$A$2:$A$37,0))^($A26-1),0))</f>
        <v/>
      </c>
      <c r="F26" s="43">
        <f>IF(AND(INDEX(Galerias!$M$2:$M$37,MATCH(F$2,Galerias!$A$2:$A$37,0))&lt;&gt;"",$A26&gt;INDEX(Galerias!$M$2:$M$37,MATCH(F$2,Galerias!$A$2:$A$37,0))),"",ROUND(INDEX(Galerias!$N$2:$N$37,MATCH(F$2,Galerias!$A$2:$A$37,0))*INDEX(Galerias!$O$2:$O$37,MATCH(F$2,Galerias!$A$2:$A$37,0))^($A26-1),0))</f>
        <v/>
      </c>
      <c r="G26" s="43">
        <f>IF(AND(INDEX(Galerias!$M$2:$M$37,MATCH(G$2,Galerias!$A$2:$A$37,0))&lt;&gt;"",$A26&gt;INDEX(Galerias!$M$2:$M$37,MATCH(G$2,Galerias!$A$2:$A$37,0))),"",ROUND(INDEX(Galerias!$N$2:$N$37,MATCH(G$2,Galerias!$A$2:$A$37,0))*INDEX(Galerias!$O$2:$O$37,MATCH(G$2,Galerias!$A$2:$A$37,0))^($A26-1),0))</f>
        <v/>
      </c>
      <c r="H26" s="43">
        <f>IF(AND(INDEX(Galerias!$M$2:$M$37,MATCH(H$2,Galerias!$A$2:$A$37,0))&lt;&gt;"",$A26&gt;INDEX(Galerias!$M$2:$M$37,MATCH(H$2,Galerias!$A$2:$A$37,0))),"",ROUND(INDEX(Galerias!$N$2:$N$37,MATCH(H$2,Galerias!$A$2:$A$37,0))*INDEX(Galerias!$O$2:$O$37,MATCH(H$2,Galerias!$A$2:$A$37,0))^($A26-1),0))</f>
        <v/>
      </c>
      <c r="I26" s="43">
        <f>IF(AND(INDEX(Galerias!$M$2:$M$37,MATCH(I$2,Galerias!$A$2:$A$37,0))&lt;&gt;"",$A26&gt;INDEX(Galerias!$M$2:$M$37,MATCH(I$2,Galerias!$A$2:$A$37,0))),"",ROUND(INDEX(Galerias!$N$2:$N$37,MATCH(I$2,Galerias!$A$2:$A$37,0))*INDEX(Galerias!$O$2:$O$37,MATCH(I$2,Galerias!$A$2:$A$37,0))^($A26-1),0))</f>
        <v/>
      </c>
      <c r="J26" s="43">
        <f>IF(AND(INDEX(Galerias!$M$2:$M$37,MATCH(J$2,Galerias!$A$2:$A$37,0))&lt;&gt;"",$A26&gt;INDEX(Galerias!$M$2:$M$37,MATCH(J$2,Galerias!$A$2:$A$37,0))),"",ROUND(INDEX(Galerias!$N$2:$N$37,MATCH(J$2,Galerias!$A$2:$A$37,0))*INDEX(Galerias!$O$2:$O$37,MATCH(J$2,Galerias!$A$2:$A$37,0))^($A26-1),0))</f>
        <v/>
      </c>
      <c r="K26" s="43">
        <f>IF(AND(INDEX(Galerias!$M$2:$M$37,MATCH(K$2,Galerias!$A$2:$A$37,0))&lt;&gt;"",$A26&gt;INDEX(Galerias!$M$2:$M$37,MATCH(K$2,Galerias!$A$2:$A$37,0))),"",ROUND(INDEX(Galerias!$N$2:$N$37,MATCH(K$2,Galerias!$A$2:$A$37,0))*INDEX(Galerias!$O$2:$O$37,MATCH(K$2,Galerias!$A$2:$A$37,0))^($A26-1),0))</f>
        <v/>
      </c>
      <c r="L26" s="43">
        <f>IF(AND(INDEX(Galerias!$M$2:$M$37,MATCH(L$2,Galerias!$A$2:$A$37,0))&lt;&gt;"",$A26&gt;INDEX(Galerias!$M$2:$M$37,MATCH(L$2,Galerias!$A$2:$A$37,0))),"",ROUND(INDEX(Galerias!$N$2:$N$37,MATCH(L$2,Galerias!$A$2:$A$37,0))*INDEX(Galerias!$O$2:$O$37,MATCH(L$2,Galerias!$A$2:$A$37,0))^($A26-1),0))</f>
        <v/>
      </c>
      <c r="M26" s="43">
        <f>IF(AND(INDEX(Galerias!$M$2:$M$37,MATCH(M$2,Galerias!$A$2:$A$37,0))&lt;&gt;"",$A26&gt;INDEX(Galerias!$M$2:$M$37,MATCH(M$2,Galerias!$A$2:$A$37,0))),"",ROUND(INDEX(Galerias!$N$2:$N$37,MATCH(M$2,Galerias!$A$2:$A$37,0))*INDEX(Galerias!$O$2:$O$37,MATCH(M$2,Galerias!$A$2:$A$37,0))^($A26-1),0))</f>
        <v/>
      </c>
      <c r="N26" s="43">
        <f>IF(AND(INDEX(Galerias!$M$2:$M$37,MATCH(N$2,Galerias!$A$2:$A$37,0))&lt;&gt;"",$A26&gt;INDEX(Galerias!$M$2:$M$37,MATCH(N$2,Galerias!$A$2:$A$37,0))),"",ROUND(INDEX(Galerias!$N$2:$N$37,MATCH(N$2,Galerias!$A$2:$A$37,0))*INDEX(Galerias!$O$2:$O$37,MATCH(N$2,Galerias!$A$2:$A$37,0))^($A26-1),0))</f>
        <v/>
      </c>
      <c r="O26" s="43">
        <f>IF(AND(INDEX(Galerias!$M$2:$M$37,MATCH(O$2,Galerias!$A$2:$A$37,0))&lt;&gt;"",$A26&gt;INDEX(Galerias!$M$2:$M$37,MATCH(O$2,Galerias!$A$2:$A$37,0))),"",ROUND(INDEX(Galerias!$N$2:$N$37,MATCH(O$2,Galerias!$A$2:$A$37,0))*INDEX(Galerias!$O$2:$O$37,MATCH(O$2,Galerias!$A$2:$A$37,0))^($A26-1),0))</f>
        <v/>
      </c>
      <c r="P26" s="43">
        <f>IF(AND(INDEX(Galerias!$M$2:$M$37,MATCH(P$2,Galerias!$A$2:$A$37,0))&lt;&gt;"",$A26&gt;INDEX(Galerias!$M$2:$M$37,MATCH(P$2,Galerias!$A$2:$A$37,0))),"",ROUND(INDEX(Galerias!$N$2:$N$37,MATCH(P$2,Galerias!$A$2:$A$37,0))*INDEX(Galerias!$O$2:$O$37,MATCH(P$2,Galerias!$A$2:$A$37,0))^($A26-1),0))</f>
        <v/>
      </c>
      <c r="Q26" s="43">
        <f>IF(AND(INDEX(Galerias!$M$2:$M$37,MATCH(Q$2,Galerias!$A$2:$A$37,0))&lt;&gt;"",$A26&gt;INDEX(Galerias!$M$2:$M$37,MATCH(Q$2,Galerias!$A$2:$A$37,0))),"",ROUND(INDEX(Galerias!$N$2:$N$37,MATCH(Q$2,Galerias!$A$2:$A$37,0))*INDEX(Galerias!$O$2:$O$37,MATCH(Q$2,Galerias!$A$2:$A$37,0))^($A26-1),0))</f>
        <v/>
      </c>
      <c r="R26" s="43">
        <f>IF(AND(INDEX(Galerias!$M$2:$M$37,MATCH(R$2,Galerias!$A$2:$A$37,0))&lt;&gt;"",$A26&gt;INDEX(Galerias!$M$2:$M$37,MATCH(R$2,Galerias!$A$2:$A$37,0))),"",ROUND(INDEX(Galerias!$N$2:$N$37,MATCH(R$2,Galerias!$A$2:$A$37,0))*INDEX(Galerias!$O$2:$O$37,MATCH(R$2,Galerias!$A$2:$A$37,0))^($A26-1),0))</f>
        <v/>
      </c>
      <c r="S26" s="43">
        <f>IF(AND(INDEX(Galerias!$M$2:$M$37,MATCH(S$2,Galerias!$A$2:$A$37,0))&lt;&gt;"",$A26&gt;INDEX(Galerias!$M$2:$M$37,MATCH(S$2,Galerias!$A$2:$A$37,0))),"",ROUND(INDEX(Galerias!$N$2:$N$37,MATCH(S$2,Galerias!$A$2:$A$37,0))*INDEX(Galerias!$O$2:$O$37,MATCH(S$2,Galerias!$A$2:$A$37,0))^($A26-1),0))</f>
        <v/>
      </c>
      <c r="T26" s="43">
        <f>IF(AND(INDEX(Galerias!$M$2:$M$37,MATCH(T$2,Galerias!$A$2:$A$37,0))&lt;&gt;"",$A26&gt;INDEX(Galerias!$M$2:$M$37,MATCH(T$2,Galerias!$A$2:$A$37,0))),"",ROUND(INDEX(Galerias!$N$2:$N$37,MATCH(T$2,Galerias!$A$2:$A$37,0))*INDEX(Galerias!$O$2:$O$37,MATCH(T$2,Galerias!$A$2:$A$37,0))^($A26-1),0))</f>
        <v/>
      </c>
      <c r="U26" s="43">
        <f>IF(AND(INDEX(Galerias!$M$2:$M$37,MATCH(U$2,Galerias!$A$2:$A$37,0))&lt;&gt;"",$A26&gt;INDEX(Galerias!$M$2:$M$37,MATCH(U$2,Galerias!$A$2:$A$37,0))),"",ROUND(INDEX(Galerias!$N$2:$N$37,MATCH(U$2,Galerias!$A$2:$A$37,0))*INDEX(Galerias!$O$2:$O$37,MATCH(U$2,Galerias!$A$2:$A$37,0))^($A26-1),0))</f>
        <v/>
      </c>
      <c r="V26" s="43">
        <f>IF(AND(INDEX(Galerias!$M$2:$M$37,MATCH(V$2,Galerias!$A$2:$A$37,0))&lt;&gt;"",$A26&gt;INDEX(Galerias!$M$2:$M$37,MATCH(V$2,Galerias!$A$2:$A$37,0))),"",ROUND(INDEX(Galerias!$N$2:$N$37,MATCH(V$2,Galerias!$A$2:$A$37,0))*INDEX(Galerias!$O$2:$O$37,MATCH(V$2,Galerias!$A$2:$A$37,0))^($A26-1),0))</f>
        <v/>
      </c>
      <c r="W26" s="43">
        <f>IF(AND(INDEX(Galerias!$M$2:$M$37,MATCH(W$2,Galerias!$A$2:$A$37,0))&lt;&gt;"",$A26&gt;INDEX(Galerias!$M$2:$M$37,MATCH(W$2,Galerias!$A$2:$A$37,0))),"",ROUND(INDEX(Galerias!$N$2:$N$37,MATCH(W$2,Galerias!$A$2:$A$37,0))*INDEX(Galerias!$O$2:$O$37,MATCH(W$2,Galerias!$A$2:$A$37,0))^($A26-1),0))</f>
        <v/>
      </c>
      <c r="X26" s="43">
        <f>IF(AND(INDEX(Galerias!$M$2:$M$37,MATCH(X$2,Galerias!$A$2:$A$37,0))&lt;&gt;"",$A26&gt;INDEX(Galerias!$M$2:$M$37,MATCH(X$2,Galerias!$A$2:$A$37,0))),"",ROUND(INDEX(Galerias!$N$2:$N$37,MATCH(X$2,Galerias!$A$2:$A$37,0))*INDEX(Galerias!$O$2:$O$37,MATCH(X$2,Galerias!$A$2:$A$37,0))^($A26-1),0))</f>
        <v/>
      </c>
      <c r="Y26" s="43">
        <f>IF(AND(INDEX(Galerias!$M$2:$M$37,MATCH(Y$2,Galerias!$A$2:$A$37,0))&lt;&gt;"",$A26&gt;INDEX(Galerias!$M$2:$M$37,MATCH(Y$2,Galerias!$A$2:$A$37,0))),"",ROUND(INDEX(Galerias!$N$2:$N$37,MATCH(Y$2,Galerias!$A$2:$A$37,0))*INDEX(Galerias!$O$2:$O$37,MATCH(Y$2,Galerias!$A$2:$A$37,0))^($A26-1),0))</f>
        <v/>
      </c>
      <c r="Z26" s="43">
        <f>IF(AND(INDEX(Galerias!$M$2:$M$37,MATCH(Z$2,Galerias!$A$2:$A$37,0))&lt;&gt;"",$A26&gt;INDEX(Galerias!$M$2:$M$37,MATCH(Z$2,Galerias!$A$2:$A$37,0))),"",ROUND(INDEX(Galerias!$N$2:$N$37,MATCH(Z$2,Galerias!$A$2:$A$37,0))*INDEX(Galerias!$O$2:$O$37,MATCH(Z$2,Galerias!$A$2:$A$37,0))^($A26-1),0))</f>
        <v/>
      </c>
      <c r="AA26" s="43">
        <f>IF(AND(INDEX(Galerias!$M$2:$M$37,MATCH(AA$2,Galerias!$A$2:$A$37,0))&lt;&gt;"",$A26&gt;INDEX(Galerias!$M$2:$M$37,MATCH(AA$2,Galerias!$A$2:$A$37,0))),"",ROUND(INDEX(Galerias!$N$2:$N$37,MATCH(AA$2,Galerias!$A$2:$A$37,0))*INDEX(Galerias!$O$2:$O$37,MATCH(AA$2,Galerias!$A$2:$A$37,0))^($A26-1),0))</f>
        <v/>
      </c>
      <c r="AB26" s="43">
        <f>IF(AND(INDEX(Galerias!$M$2:$M$37,MATCH(AB$2,Galerias!$A$2:$A$37,0))&lt;&gt;"",$A26&gt;INDEX(Galerias!$M$2:$M$37,MATCH(AB$2,Galerias!$A$2:$A$37,0))),"",ROUND(INDEX(Galerias!$N$2:$N$37,MATCH(AB$2,Galerias!$A$2:$A$37,0))*INDEX(Galerias!$O$2:$O$37,MATCH(AB$2,Galerias!$A$2:$A$37,0))^($A26-1),0))</f>
        <v/>
      </c>
      <c r="AC26" s="43">
        <f>IF(AND(INDEX(Galerias!$M$2:$M$37,MATCH(AC$2,Galerias!$A$2:$A$37,0))&lt;&gt;"",$A26&gt;INDEX(Galerias!$M$2:$M$37,MATCH(AC$2,Galerias!$A$2:$A$37,0))),"",ROUND(INDEX(Galerias!$N$2:$N$37,MATCH(AC$2,Galerias!$A$2:$A$37,0))*INDEX(Galerias!$O$2:$O$37,MATCH(AC$2,Galerias!$A$2:$A$37,0))^($A26-1),0))</f>
        <v/>
      </c>
      <c r="AD26" s="43">
        <f>IF(AND(INDEX(Galerias!$M$2:$M$37,MATCH(AD$2,Galerias!$A$2:$A$37,0))&lt;&gt;"",$A26&gt;INDEX(Galerias!$M$2:$M$37,MATCH(AD$2,Galerias!$A$2:$A$37,0))),"",ROUND(INDEX(Galerias!$N$2:$N$37,MATCH(AD$2,Galerias!$A$2:$A$37,0))*INDEX(Galerias!$O$2:$O$37,MATCH(AD$2,Galerias!$A$2:$A$37,0))^($A26-1),0))</f>
        <v/>
      </c>
      <c r="AE26" s="43">
        <f>IF(AND(INDEX(Galerias!$M$2:$M$37,MATCH(AE$2,Galerias!$A$2:$A$37,0))&lt;&gt;"",$A26&gt;INDEX(Galerias!$M$2:$M$37,MATCH(AE$2,Galerias!$A$2:$A$37,0))),"",ROUND(INDEX(Galerias!$N$2:$N$37,MATCH(AE$2,Galerias!$A$2:$A$37,0))*INDEX(Galerias!$O$2:$O$37,MATCH(AE$2,Galerias!$A$2:$A$37,0))^($A26-1),0))</f>
        <v/>
      </c>
      <c r="AF26" s="43">
        <f>IF(AND(INDEX(Galerias!$M$2:$M$37,MATCH(AF$2,Galerias!$A$2:$A$37,0))&lt;&gt;"",$A26&gt;INDEX(Galerias!$M$2:$M$37,MATCH(AF$2,Galerias!$A$2:$A$37,0))),"",ROUND(INDEX(Galerias!$N$2:$N$37,MATCH(AF$2,Galerias!$A$2:$A$37,0))*INDEX(Galerias!$O$2:$O$37,MATCH(AF$2,Galerias!$A$2:$A$37,0))^($A26-1),0))</f>
        <v/>
      </c>
      <c r="AG26" s="43">
        <f>IF(AND(INDEX(Galerias!$M$2:$M$37,MATCH(AG$2,Galerias!$A$2:$A$37,0))&lt;&gt;"",$A26&gt;INDEX(Galerias!$M$2:$M$37,MATCH(AG$2,Galerias!$A$2:$A$37,0))),"",ROUND(INDEX(Galerias!$N$2:$N$37,MATCH(AG$2,Galerias!$A$2:$A$37,0))*INDEX(Galerias!$O$2:$O$37,MATCH(AG$2,Galerias!$A$2:$A$37,0))^($A26-1),0))</f>
        <v/>
      </c>
      <c r="AH26" s="43">
        <f>IF(AND(INDEX(Galerias!$M$2:$M$37,MATCH(AH$2,Galerias!$A$2:$A$37,0))&lt;&gt;"",$A26&gt;INDEX(Galerias!$M$2:$M$37,MATCH(AH$2,Galerias!$A$2:$A$37,0))),"",ROUND(INDEX(Galerias!$N$2:$N$37,MATCH(AH$2,Galerias!$A$2:$A$37,0))*INDEX(Galerias!$O$2:$O$37,MATCH(AH$2,Galerias!$A$2:$A$37,0))^($A26-1),0))</f>
        <v/>
      </c>
      <c r="AI26" s="43">
        <f>IF(AND(INDEX(Galerias!$M$2:$M$37,MATCH(AI$2,Galerias!$A$2:$A$37,0))&lt;&gt;"",$A26&gt;INDEX(Galerias!$M$2:$M$37,MATCH(AI$2,Galerias!$A$2:$A$37,0))),"",ROUND(INDEX(Galerias!$N$2:$N$37,MATCH(AI$2,Galerias!$A$2:$A$37,0))*INDEX(Galerias!$O$2:$O$37,MATCH(AI$2,Galerias!$A$2:$A$37,0))^($A26-1),0))</f>
        <v/>
      </c>
      <c r="AJ26" s="43">
        <f>IF(AND(INDEX(Galerias!$M$2:$M$37,MATCH(AJ$2,Galerias!$A$2:$A$37,0))&lt;&gt;"",$A26&gt;INDEX(Galerias!$M$2:$M$37,MATCH(AJ$2,Galerias!$A$2:$A$37,0))),"",ROUND(INDEX(Galerias!$N$2:$N$37,MATCH(AJ$2,Galerias!$A$2:$A$37,0))*INDEX(Galerias!$O$2:$O$37,MATCH(AJ$2,Galerias!$A$2:$A$37,0))^($A26-1),0))</f>
        <v/>
      </c>
      <c r="AK26" s="43">
        <f>IF(AND(INDEX(Galerias!$M$2:$M$37,MATCH(AK$2,Galerias!$A$2:$A$37,0))&lt;&gt;"",$A26&gt;INDEX(Galerias!$M$2:$M$37,MATCH(AK$2,Galerias!$A$2:$A$37,0))),"",ROUND(INDEX(Galerias!$N$2:$N$37,MATCH(AK$2,Galerias!$A$2:$A$37,0))*INDEX(Galerias!$O$2:$O$37,MATCH(AK$2,Galerias!$A$2:$A$37,0))^($A26-1),0))</f>
        <v/>
      </c>
    </row>
    <row r="27" ht="15" customHeight="1" s="23">
      <c r="A27" s="25" t="n">
        <v>25</v>
      </c>
      <c r="B27" s="43">
        <f>IF(AND(INDEX(Galerias!$M$2:$M$37,MATCH(B$2,Galerias!$A$2:$A$37,0))&lt;&gt;"",$A27&gt;INDEX(Galerias!$M$2:$M$37,MATCH(B$2,Galerias!$A$2:$A$37,0))),"",ROUND(INDEX(Galerias!$N$2:$N$37,MATCH(B$2,Galerias!$A$2:$A$37,0))*INDEX(Galerias!$O$2:$O$37,MATCH(B$2,Galerias!$A$2:$A$37,0))^($A27-1),0))</f>
        <v/>
      </c>
      <c r="C27" s="43">
        <f>IF(AND(INDEX(Galerias!$M$2:$M$37,MATCH(C$2,Galerias!$A$2:$A$37,0))&lt;&gt;"",$A27&gt;INDEX(Galerias!$M$2:$M$37,MATCH(C$2,Galerias!$A$2:$A$37,0))),"",ROUND(INDEX(Galerias!$N$2:$N$37,MATCH(C$2,Galerias!$A$2:$A$37,0))*INDEX(Galerias!$O$2:$O$37,MATCH(C$2,Galerias!$A$2:$A$37,0))^($A27-1),0))</f>
        <v/>
      </c>
      <c r="D27" s="43">
        <f>IF(AND(INDEX(Galerias!$M$2:$M$37,MATCH(D$2,Galerias!$A$2:$A$37,0))&lt;&gt;"",$A27&gt;INDEX(Galerias!$M$2:$M$37,MATCH(D$2,Galerias!$A$2:$A$37,0))),"",ROUND(INDEX(Galerias!$N$2:$N$37,MATCH(D$2,Galerias!$A$2:$A$37,0))*INDEX(Galerias!$O$2:$O$37,MATCH(D$2,Galerias!$A$2:$A$37,0))^($A27-1),0))</f>
        <v/>
      </c>
      <c r="E27" s="43">
        <f>IF(AND(INDEX(Galerias!$M$2:$M$37,MATCH(E$2,Galerias!$A$2:$A$37,0))&lt;&gt;"",$A27&gt;INDEX(Galerias!$M$2:$M$37,MATCH(E$2,Galerias!$A$2:$A$37,0))),"",ROUND(INDEX(Galerias!$N$2:$N$37,MATCH(E$2,Galerias!$A$2:$A$37,0))*INDEX(Galerias!$O$2:$O$37,MATCH(E$2,Galerias!$A$2:$A$37,0))^($A27-1),0))</f>
        <v/>
      </c>
      <c r="F27" s="43">
        <f>IF(AND(INDEX(Galerias!$M$2:$M$37,MATCH(F$2,Galerias!$A$2:$A$37,0))&lt;&gt;"",$A27&gt;INDEX(Galerias!$M$2:$M$37,MATCH(F$2,Galerias!$A$2:$A$37,0))),"",ROUND(INDEX(Galerias!$N$2:$N$37,MATCH(F$2,Galerias!$A$2:$A$37,0))*INDEX(Galerias!$O$2:$O$37,MATCH(F$2,Galerias!$A$2:$A$37,0))^($A27-1),0))</f>
        <v/>
      </c>
      <c r="G27" s="43">
        <f>IF(AND(INDEX(Galerias!$M$2:$M$37,MATCH(G$2,Galerias!$A$2:$A$37,0))&lt;&gt;"",$A27&gt;INDEX(Galerias!$M$2:$M$37,MATCH(G$2,Galerias!$A$2:$A$37,0))),"",ROUND(INDEX(Galerias!$N$2:$N$37,MATCH(G$2,Galerias!$A$2:$A$37,0))*INDEX(Galerias!$O$2:$O$37,MATCH(G$2,Galerias!$A$2:$A$37,0))^($A27-1),0))</f>
        <v/>
      </c>
      <c r="H27" s="43">
        <f>IF(AND(INDEX(Galerias!$M$2:$M$37,MATCH(H$2,Galerias!$A$2:$A$37,0))&lt;&gt;"",$A27&gt;INDEX(Galerias!$M$2:$M$37,MATCH(H$2,Galerias!$A$2:$A$37,0))),"",ROUND(INDEX(Galerias!$N$2:$N$37,MATCH(H$2,Galerias!$A$2:$A$37,0))*INDEX(Galerias!$O$2:$O$37,MATCH(H$2,Galerias!$A$2:$A$37,0))^($A27-1),0))</f>
        <v/>
      </c>
      <c r="I27" s="43">
        <f>IF(AND(INDEX(Galerias!$M$2:$M$37,MATCH(I$2,Galerias!$A$2:$A$37,0))&lt;&gt;"",$A27&gt;INDEX(Galerias!$M$2:$M$37,MATCH(I$2,Galerias!$A$2:$A$37,0))),"",ROUND(INDEX(Galerias!$N$2:$N$37,MATCH(I$2,Galerias!$A$2:$A$37,0))*INDEX(Galerias!$O$2:$O$37,MATCH(I$2,Galerias!$A$2:$A$37,0))^($A27-1),0))</f>
        <v/>
      </c>
      <c r="J27" s="43">
        <f>IF(AND(INDEX(Galerias!$M$2:$M$37,MATCH(J$2,Galerias!$A$2:$A$37,0))&lt;&gt;"",$A27&gt;INDEX(Galerias!$M$2:$M$37,MATCH(J$2,Galerias!$A$2:$A$37,0))),"",ROUND(INDEX(Galerias!$N$2:$N$37,MATCH(J$2,Galerias!$A$2:$A$37,0))*INDEX(Galerias!$O$2:$O$37,MATCH(J$2,Galerias!$A$2:$A$37,0))^($A27-1),0))</f>
        <v/>
      </c>
      <c r="K27" s="43">
        <f>IF(AND(INDEX(Galerias!$M$2:$M$37,MATCH(K$2,Galerias!$A$2:$A$37,0))&lt;&gt;"",$A27&gt;INDEX(Galerias!$M$2:$M$37,MATCH(K$2,Galerias!$A$2:$A$37,0))),"",ROUND(INDEX(Galerias!$N$2:$N$37,MATCH(K$2,Galerias!$A$2:$A$37,0))*INDEX(Galerias!$O$2:$O$37,MATCH(K$2,Galerias!$A$2:$A$37,0))^($A27-1),0))</f>
        <v/>
      </c>
      <c r="L27" s="43">
        <f>IF(AND(INDEX(Galerias!$M$2:$M$37,MATCH(L$2,Galerias!$A$2:$A$37,0))&lt;&gt;"",$A27&gt;INDEX(Galerias!$M$2:$M$37,MATCH(L$2,Galerias!$A$2:$A$37,0))),"",ROUND(INDEX(Galerias!$N$2:$N$37,MATCH(L$2,Galerias!$A$2:$A$37,0))*INDEX(Galerias!$O$2:$O$37,MATCH(L$2,Galerias!$A$2:$A$37,0))^($A27-1),0))</f>
        <v/>
      </c>
      <c r="M27" s="43">
        <f>IF(AND(INDEX(Galerias!$M$2:$M$37,MATCH(M$2,Galerias!$A$2:$A$37,0))&lt;&gt;"",$A27&gt;INDEX(Galerias!$M$2:$M$37,MATCH(M$2,Galerias!$A$2:$A$37,0))),"",ROUND(INDEX(Galerias!$N$2:$N$37,MATCH(M$2,Galerias!$A$2:$A$37,0))*INDEX(Galerias!$O$2:$O$37,MATCH(M$2,Galerias!$A$2:$A$37,0))^($A27-1),0))</f>
        <v/>
      </c>
      <c r="N27" s="43">
        <f>IF(AND(INDEX(Galerias!$M$2:$M$37,MATCH(N$2,Galerias!$A$2:$A$37,0))&lt;&gt;"",$A27&gt;INDEX(Galerias!$M$2:$M$37,MATCH(N$2,Galerias!$A$2:$A$37,0))),"",ROUND(INDEX(Galerias!$N$2:$N$37,MATCH(N$2,Galerias!$A$2:$A$37,0))*INDEX(Galerias!$O$2:$O$37,MATCH(N$2,Galerias!$A$2:$A$37,0))^($A27-1),0))</f>
        <v/>
      </c>
      <c r="O27" s="43">
        <f>IF(AND(INDEX(Galerias!$M$2:$M$37,MATCH(O$2,Galerias!$A$2:$A$37,0))&lt;&gt;"",$A27&gt;INDEX(Galerias!$M$2:$M$37,MATCH(O$2,Galerias!$A$2:$A$37,0))),"",ROUND(INDEX(Galerias!$N$2:$N$37,MATCH(O$2,Galerias!$A$2:$A$37,0))*INDEX(Galerias!$O$2:$O$37,MATCH(O$2,Galerias!$A$2:$A$37,0))^($A27-1),0))</f>
        <v/>
      </c>
      <c r="P27" s="43">
        <f>IF(AND(INDEX(Galerias!$M$2:$M$37,MATCH(P$2,Galerias!$A$2:$A$37,0))&lt;&gt;"",$A27&gt;INDEX(Galerias!$M$2:$M$37,MATCH(P$2,Galerias!$A$2:$A$37,0))),"",ROUND(INDEX(Galerias!$N$2:$N$37,MATCH(P$2,Galerias!$A$2:$A$37,0))*INDEX(Galerias!$O$2:$O$37,MATCH(P$2,Galerias!$A$2:$A$37,0))^($A27-1),0))</f>
        <v/>
      </c>
      <c r="Q27" s="43">
        <f>IF(AND(INDEX(Galerias!$M$2:$M$37,MATCH(Q$2,Galerias!$A$2:$A$37,0))&lt;&gt;"",$A27&gt;INDEX(Galerias!$M$2:$M$37,MATCH(Q$2,Galerias!$A$2:$A$37,0))),"",ROUND(INDEX(Galerias!$N$2:$N$37,MATCH(Q$2,Galerias!$A$2:$A$37,0))*INDEX(Galerias!$O$2:$O$37,MATCH(Q$2,Galerias!$A$2:$A$37,0))^($A27-1),0))</f>
        <v/>
      </c>
      <c r="R27" s="43">
        <f>IF(AND(INDEX(Galerias!$M$2:$M$37,MATCH(R$2,Galerias!$A$2:$A$37,0))&lt;&gt;"",$A27&gt;INDEX(Galerias!$M$2:$M$37,MATCH(R$2,Galerias!$A$2:$A$37,0))),"",ROUND(INDEX(Galerias!$N$2:$N$37,MATCH(R$2,Galerias!$A$2:$A$37,0))*INDEX(Galerias!$O$2:$O$37,MATCH(R$2,Galerias!$A$2:$A$37,0))^($A27-1),0))</f>
        <v/>
      </c>
      <c r="S27" s="43">
        <f>IF(AND(INDEX(Galerias!$M$2:$M$37,MATCH(S$2,Galerias!$A$2:$A$37,0))&lt;&gt;"",$A27&gt;INDEX(Galerias!$M$2:$M$37,MATCH(S$2,Galerias!$A$2:$A$37,0))),"",ROUND(INDEX(Galerias!$N$2:$N$37,MATCH(S$2,Galerias!$A$2:$A$37,0))*INDEX(Galerias!$O$2:$O$37,MATCH(S$2,Galerias!$A$2:$A$37,0))^($A27-1),0))</f>
        <v/>
      </c>
      <c r="T27" s="43">
        <f>IF(AND(INDEX(Galerias!$M$2:$M$37,MATCH(T$2,Galerias!$A$2:$A$37,0))&lt;&gt;"",$A27&gt;INDEX(Galerias!$M$2:$M$37,MATCH(T$2,Galerias!$A$2:$A$37,0))),"",ROUND(INDEX(Galerias!$N$2:$N$37,MATCH(T$2,Galerias!$A$2:$A$37,0))*INDEX(Galerias!$O$2:$O$37,MATCH(T$2,Galerias!$A$2:$A$37,0))^($A27-1),0))</f>
        <v/>
      </c>
      <c r="U27" s="43">
        <f>IF(AND(INDEX(Galerias!$M$2:$M$37,MATCH(U$2,Galerias!$A$2:$A$37,0))&lt;&gt;"",$A27&gt;INDEX(Galerias!$M$2:$M$37,MATCH(U$2,Galerias!$A$2:$A$37,0))),"",ROUND(INDEX(Galerias!$N$2:$N$37,MATCH(U$2,Galerias!$A$2:$A$37,0))*INDEX(Galerias!$O$2:$O$37,MATCH(U$2,Galerias!$A$2:$A$37,0))^($A27-1),0))</f>
        <v/>
      </c>
      <c r="V27" s="43">
        <f>IF(AND(INDEX(Galerias!$M$2:$M$37,MATCH(V$2,Galerias!$A$2:$A$37,0))&lt;&gt;"",$A27&gt;INDEX(Galerias!$M$2:$M$37,MATCH(V$2,Galerias!$A$2:$A$37,0))),"",ROUND(INDEX(Galerias!$N$2:$N$37,MATCH(V$2,Galerias!$A$2:$A$37,0))*INDEX(Galerias!$O$2:$O$37,MATCH(V$2,Galerias!$A$2:$A$37,0))^($A27-1),0))</f>
        <v/>
      </c>
      <c r="W27" s="43">
        <f>IF(AND(INDEX(Galerias!$M$2:$M$37,MATCH(W$2,Galerias!$A$2:$A$37,0))&lt;&gt;"",$A27&gt;INDEX(Galerias!$M$2:$M$37,MATCH(W$2,Galerias!$A$2:$A$37,0))),"",ROUND(INDEX(Galerias!$N$2:$N$37,MATCH(W$2,Galerias!$A$2:$A$37,0))*INDEX(Galerias!$O$2:$O$37,MATCH(W$2,Galerias!$A$2:$A$37,0))^($A27-1),0))</f>
        <v/>
      </c>
      <c r="X27" s="43">
        <f>IF(AND(INDEX(Galerias!$M$2:$M$37,MATCH(X$2,Galerias!$A$2:$A$37,0))&lt;&gt;"",$A27&gt;INDEX(Galerias!$M$2:$M$37,MATCH(X$2,Galerias!$A$2:$A$37,0))),"",ROUND(INDEX(Galerias!$N$2:$N$37,MATCH(X$2,Galerias!$A$2:$A$37,0))*INDEX(Galerias!$O$2:$O$37,MATCH(X$2,Galerias!$A$2:$A$37,0))^($A27-1),0))</f>
        <v/>
      </c>
      <c r="Y27" s="43">
        <f>IF(AND(INDEX(Galerias!$M$2:$M$37,MATCH(Y$2,Galerias!$A$2:$A$37,0))&lt;&gt;"",$A27&gt;INDEX(Galerias!$M$2:$M$37,MATCH(Y$2,Galerias!$A$2:$A$37,0))),"",ROUND(INDEX(Galerias!$N$2:$N$37,MATCH(Y$2,Galerias!$A$2:$A$37,0))*INDEX(Galerias!$O$2:$O$37,MATCH(Y$2,Galerias!$A$2:$A$37,0))^($A27-1),0))</f>
        <v/>
      </c>
      <c r="Z27" s="43">
        <f>IF(AND(INDEX(Galerias!$M$2:$M$37,MATCH(Z$2,Galerias!$A$2:$A$37,0))&lt;&gt;"",$A27&gt;INDEX(Galerias!$M$2:$M$37,MATCH(Z$2,Galerias!$A$2:$A$37,0))),"",ROUND(INDEX(Galerias!$N$2:$N$37,MATCH(Z$2,Galerias!$A$2:$A$37,0))*INDEX(Galerias!$O$2:$O$37,MATCH(Z$2,Galerias!$A$2:$A$37,0))^($A27-1),0))</f>
        <v/>
      </c>
      <c r="AA27" s="43">
        <f>IF(AND(INDEX(Galerias!$M$2:$M$37,MATCH(AA$2,Galerias!$A$2:$A$37,0))&lt;&gt;"",$A27&gt;INDEX(Galerias!$M$2:$M$37,MATCH(AA$2,Galerias!$A$2:$A$37,0))),"",ROUND(INDEX(Galerias!$N$2:$N$37,MATCH(AA$2,Galerias!$A$2:$A$37,0))*INDEX(Galerias!$O$2:$O$37,MATCH(AA$2,Galerias!$A$2:$A$37,0))^($A27-1),0))</f>
        <v/>
      </c>
      <c r="AB27" s="43">
        <f>IF(AND(INDEX(Galerias!$M$2:$M$37,MATCH(AB$2,Galerias!$A$2:$A$37,0))&lt;&gt;"",$A27&gt;INDEX(Galerias!$M$2:$M$37,MATCH(AB$2,Galerias!$A$2:$A$37,0))),"",ROUND(INDEX(Galerias!$N$2:$N$37,MATCH(AB$2,Galerias!$A$2:$A$37,0))*INDEX(Galerias!$O$2:$O$37,MATCH(AB$2,Galerias!$A$2:$A$37,0))^($A27-1),0))</f>
        <v/>
      </c>
      <c r="AC27" s="43">
        <f>IF(AND(INDEX(Galerias!$M$2:$M$37,MATCH(AC$2,Galerias!$A$2:$A$37,0))&lt;&gt;"",$A27&gt;INDEX(Galerias!$M$2:$M$37,MATCH(AC$2,Galerias!$A$2:$A$37,0))),"",ROUND(INDEX(Galerias!$N$2:$N$37,MATCH(AC$2,Galerias!$A$2:$A$37,0))*INDEX(Galerias!$O$2:$O$37,MATCH(AC$2,Galerias!$A$2:$A$37,0))^($A27-1),0))</f>
        <v/>
      </c>
      <c r="AD27" s="43">
        <f>IF(AND(INDEX(Galerias!$M$2:$M$37,MATCH(AD$2,Galerias!$A$2:$A$37,0))&lt;&gt;"",$A27&gt;INDEX(Galerias!$M$2:$M$37,MATCH(AD$2,Galerias!$A$2:$A$37,0))),"",ROUND(INDEX(Galerias!$N$2:$N$37,MATCH(AD$2,Galerias!$A$2:$A$37,0))*INDEX(Galerias!$O$2:$O$37,MATCH(AD$2,Galerias!$A$2:$A$37,0))^($A27-1),0))</f>
        <v/>
      </c>
      <c r="AE27" s="43">
        <f>IF(AND(INDEX(Galerias!$M$2:$M$37,MATCH(AE$2,Galerias!$A$2:$A$37,0))&lt;&gt;"",$A27&gt;INDEX(Galerias!$M$2:$M$37,MATCH(AE$2,Galerias!$A$2:$A$37,0))),"",ROUND(INDEX(Galerias!$N$2:$N$37,MATCH(AE$2,Galerias!$A$2:$A$37,0))*INDEX(Galerias!$O$2:$O$37,MATCH(AE$2,Galerias!$A$2:$A$37,0))^($A27-1),0))</f>
        <v/>
      </c>
      <c r="AF27" s="43">
        <f>IF(AND(INDEX(Galerias!$M$2:$M$37,MATCH(AF$2,Galerias!$A$2:$A$37,0))&lt;&gt;"",$A27&gt;INDEX(Galerias!$M$2:$M$37,MATCH(AF$2,Galerias!$A$2:$A$37,0))),"",ROUND(INDEX(Galerias!$N$2:$N$37,MATCH(AF$2,Galerias!$A$2:$A$37,0))*INDEX(Galerias!$O$2:$O$37,MATCH(AF$2,Galerias!$A$2:$A$37,0))^($A27-1),0))</f>
        <v/>
      </c>
      <c r="AG27" s="43">
        <f>IF(AND(INDEX(Galerias!$M$2:$M$37,MATCH(AG$2,Galerias!$A$2:$A$37,0))&lt;&gt;"",$A27&gt;INDEX(Galerias!$M$2:$M$37,MATCH(AG$2,Galerias!$A$2:$A$37,0))),"",ROUND(INDEX(Galerias!$N$2:$N$37,MATCH(AG$2,Galerias!$A$2:$A$37,0))*INDEX(Galerias!$O$2:$O$37,MATCH(AG$2,Galerias!$A$2:$A$37,0))^($A27-1),0))</f>
        <v/>
      </c>
      <c r="AH27" s="43">
        <f>IF(AND(INDEX(Galerias!$M$2:$M$37,MATCH(AH$2,Galerias!$A$2:$A$37,0))&lt;&gt;"",$A27&gt;INDEX(Galerias!$M$2:$M$37,MATCH(AH$2,Galerias!$A$2:$A$37,0))),"",ROUND(INDEX(Galerias!$N$2:$N$37,MATCH(AH$2,Galerias!$A$2:$A$37,0))*INDEX(Galerias!$O$2:$O$37,MATCH(AH$2,Galerias!$A$2:$A$37,0))^($A27-1),0))</f>
        <v/>
      </c>
      <c r="AI27" s="43">
        <f>IF(AND(INDEX(Galerias!$M$2:$M$37,MATCH(AI$2,Galerias!$A$2:$A$37,0))&lt;&gt;"",$A27&gt;INDEX(Galerias!$M$2:$M$37,MATCH(AI$2,Galerias!$A$2:$A$37,0))),"",ROUND(INDEX(Galerias!$N$2:$N$37,MATCH(AI$2,Galerias!$A$2:$A$37,0))*INDEX(Galerias!$O$2:$O$37,MATCH(AI$2,Galerias!$A$2:$A$37,0))^($A27-1),0))</f>
        <v/>
      </c>
      <c r="AJ27" s="43">
        <f>IF(AND(INDEX(Galerias!$M$2:$M$37,MATCH(AJ$2,Galerias!$A$2:$A$37,0))&lt;&gt;"",$A27&gt;INDEX(Galerias!$M$2:$M$37,MATCH(AJ$2,Galerias!$A$2:$A$37,0))),"",ROUND(INDEX(Galerias!$N$2:$N$37,MATCH(AJ$2,Galerias!$A$2:$A$37,0))*INDEX(Galerias!$O$2:$O$37,MATCH(AJ$2,Galerias!$A$2:$A$37,0))^($A27-1),0))</f>
        <v/>
      </c>
      <c r="AK27" s="43">
        <f>IF(AND(INDEX(Galerias!$M$2:$M$37,MATCH(AK$2,Galerias!$A$2:$A$37,0))&lt;&gt;"",$A27&gt;INDEX(Galerias!$M$2:$M$37,MATCH(AK$2,Galerias!$A$2:$A$37,0))),"",ROUND(INDEX(Galerias!$N$2:$N$37,MATCH(AK$2,Galerias!$A$2:$A$37,0))*INDEX(Galerias!$O$2:$O$37,MATCH(AK$2,Galerias!$A$2:$A$37,0))^($A27-1),0))</f>
        <v/>
      </c>
    </row>
    <row r="28" ht="15" customHeight="1" s="23">
      <c r="A28" s="25" t="n">
        <v>26</v>
      </c>
      <c r="B28" s="43">
        <f>IF(AND(INDEX(Galerias!$M$2:$M$37,MATCH(B$2,Galerias!$A$2:$A$37,0))&lt;&gt;"",$A28&gt;INDEX(Galerias!$M$2:$M$37,MATCH(B$2,Galerias!$A$2:$A$37,0))),"",ROUND(INDEX(Galerias!$N$2:$N$37,MATCH(B$2,Galerias!$A$2:$A$37,0))*INDEX(Galerias!$O$2:$O$37,MATCH(B$2,Galerias!$A$2:$A$37,0))^($A28-1),0))</f>
        <v/>
      </c>
      <c r="C28" s="43">
        <f>IF(AND(INDEX(Galerias!$M$2:$M$37,MATCH(C$2,Galerias!$A$2:$A$37,0))&lt;&gt;"",$A28&gt;INDEX(Galerias!$M$2:$M$37,MATCH(C$2,Galerias!$A$2:$A$37,0))),"",ROUND(INDEX(Galerias!$N$2:$N$37,MATCH(C$2,Galerias!$A$2:$A$37,0))*INDEX(Galerias!$O$2:$O$37,MATCH(C$2,Galerias!$A$2:$A$37,0))^($A28-1),0))</f>
        <v/>
      </c>
      <c r="D28" s="43">
        <f>IF(AND(INDEX(Galerias!$M$2:$M$37,MATCH(D$2,Galerias!$A$2:$A$37,0))&lt;&gt;"",$A28&gt;INDEX(Galerias!$M$2:$M$37,MATCH(D$2,Galerias!$A$2:$A$37,0))),"",ROUND(INDEX(Galerias!$N$2:$N$37,MATCH(D$2,Galerias!$A$2:$A$37,0))*INDEX(Galerias!$O$2:$O$37,MATCH(D$2,Galerias!$A$2:$A$37,0))^($A28-1),0))</f>
        <v/>
      </c>
      <c r="E28" s="43">
        <f>IF(AND(INDEX(Galerias!$M$2:$M$37,MATCH(E$2,Galerias!$A$2:$A$37,0))&lt;&gt;"",$A28&gt;INDEX(Galerias!$M$2:$M$37,MATCH(E$2,Galerias!$A$2:$A$37,0))),"",ROUND(INDEX(Galerias!$N$2:$N$37,MATCH(E$2,Galerias!$A$2:$A$37,0))*INDEX(Galerias!$O$2:$O$37,MATCH(E$2,Galerias!$A$2:$A$37,0))^($A28-1),0))</f>
        <v/>
      </c>
      <c r="F28" s="43">
        <f>IF(AND(INDEX(Galerias!$M$2:$M$37,MATCH(F$2,Galerias!$A$2:$A$37,0))&lt;&gt;"",$A28&gt;INDEX(Galerias!$M$2:$M$37,MATCH(F$2,Galerias!$A$2:$A$37,0))),"",ROUND(INDEX(Galerias!$N$2:$N$37,MATCH(F$2,Galerias!$A$2:$A$37,0))*INDEX(Galerias!$O$2:$O$37,MATCH(F$2,Galerias!$A$2:$A$37,0))^($A28-1),0))</f>
        <v/>
      </c>
      <c r="G28" s="43">
        <f>IF(AND(INDEX(Galerias!$M$2:$M$37,MATCH(G$2,Galerias!$A$2:$A$37,0))&lt;&gt;"",$A28&gt;INDEX(Galerias!$M$2:$M$37,MATCH(G$2,Galerias!$A$2:$A$37,0))),"",ROUND(INDEX(Galerias!$N$2:$N$37,MATCH(G$2,Galerias!$A$2:$A$37,0))*INDEX(Galerias!$O$2:$O$37,MATCH(G$2,Galerias!$A$2:$A$37,0))^($A28-1),0))</f>
        <v/>
      </c>
      <c r="H28" s="43">
        <f>IF(AND(INDEX(Galerias!$M$2:$M$37,MATCH(H$2,Galerias!$A$2:$A$37,0))&lt;&gt;"",$A28&gt;INDEX(Galerias!$M$2:$M$37,MATCH(H$2,Galerias!$A$2:$A$37,0))),"",ROUND(INDEX(Galerias!$N$2:$N$37,MATCH(H$2,Galerias!$A$2:$A$37,0))*INDEX(Galerias!$O$2:$O$37,MATCH(H$2,Galerias!$A$2:$A$37,0))^($A28-1),0))</f>
        <v/>
      </c>
      <c r="I28" s="43">
        <f>IF(AND(INDEX(Galerias!$M$2:$M$37,MATCH(I$2,Galerias!$A$2:$A$37,0))&lt;&gt;"",$A28&gt;INDEX(Galerias!$M$2:$M$37,MATCH(I$2,Galerias!$A$2:$A$37,0))),"",ROUND(INDEX(Galerias!$N$2:$N$37,MATCH(I$2,Galerias!$A$2:$A$37,0))*INDEX(Galerias!$O$2:$O$37,MATCH(I$2,Galerias!$A$2:$A$37,0))^($A28-1),0))</f>
        <v/>
      </c>
      <c r="J28" s="43">
        <f>IF(AND(INDEX(Galerias!$M$2:$M$37,MATCH(J$2,Galerias!$A$2:$A$37,0))&lt;&gt;"",$A28&gt;INDEX(Galerias!$M$2:$M$37,MATCH(J$2,Galerias!$A$2:$A$37,0))),"",ROUND(INDEX(Galerias!$N$2:$N$37,MATCH(J$2,Galerias!$A$2:$A$37,0))*INDEX(Galerias!$O$2:$O$37,MATCH(J$2,Galerias!$A$2:$A$37,0))^($A28-1),0))</f>
        <v/>
      </c>
      <c r="K28" s="43">
        <f>IF(AND(INDEX(Galerias!$M$2:$M$37,MATCH(K$2,Galerias!$A$2:$A$37,0))&lt;&gt;"",$A28&gt;INDEX(Galerias!$M$2:$M$37,MATCH(K$2,Galerias!$A$2:$A$37,0))),"",ROUND(INDEX(Galerias!$N$2:$N$37,MATCH(K$2,Galerias!$A$2:$A$37,0))*INDEX(Galerias!$O$2:$O$37,MATCH(K$2,Galerias!$A$2:$A$37,0))^($A28-1),0))</f>
        <v/>
      </c>
      <c r="L28" s="43">
        <f>IF(AND(INDEX(Galerias!$M$2:$M$37,MATCH(L$2,Galerias!$A$2:$A$37,0))&lt;&gt;"",$A28&gt;INDEX(Galerias!$M$2:$M$37,MATCH(L$2,Galerias!$A$2:$A$37,0))),"",ROUND(INDEX(Galerias!$N$2:$N$37,MATCH(L$2,Galerias!$A$2:$A$37,0))*INDEX(Galerias!$O$2:$O$37,MATCH(L$2,Galerias!$A$2:$A$37,0))^($A28-1),0))</f>
        <v/>
      </c>
      <c r="M28" s="43">
        <f>IF(AND(INDEX(Galerias!$M$2:$M$37,MATCH(M$2,Galerias!$A$2:$A$37,0))&lt;&gt;"",$A28&gt;INDEX(Galerias!$M$2:$M$37,MATCH(M$2,Galerias!$A$2:$A$37,0))),"",ROUND(INDEX(Galerias!$N$2:$N$37,MATCH(M$2,Galerias!$A$2:$A$37,0))*INDEX(Galerias!$O$2:$O$37,MATCH(M$2,Galerias!$A$2:$A$37,0))^($A28-1),0))</f>
        <v/>
      </c>
      <c r="N28" s="43">
        <f>IF(AND(INDEX(Galerias!$M$2:$M$37,MATCH(N$2,Galerias!$A$2:$A$37,0))&lt;&gt;"",$A28&gt;INDEX(Galerias!$M$2:$M$37,MATCH(N$2,Galerias!$A$2:$A$37,0))),"",ROUND(INDEX(Galerias!$N$2:$N$37,MATCH(N$2,Galerias!$A$2:$A$37,0))*INDEX(Galerias!$O$2:$O$37,MATCH(N$2,Galerias!$A$2:$A$37,0))^($A28-1),0))</f>
        <v/>
      </c>
      <c r="O28" s="43">
        <f>IF(AND(INDEX(Galerias!$M$2:$M$37,MATCH(O$2,Galerias!$A$2:$A$37,0))&lt;&gt;"",$A28&gt;INDEX(Galerias!$M$2:$M$37,MATCH(O$2,Galerias!$A$2:$A$37,0))),"",ROUND(INDEX(Galerias!$N$2:$N$37,MATCH(O$2,Galerias!$A$2:$A$37,0))*INDEX(Galerias!$O$2:$O$37,MATCH(O$2,Galerias!$A$2:$A$37,0))^($A28-1),0))</f>
        <v/>
      </c>
      <c r="P28" s="43">
        <f>IF(AND(INDEX(Galerias!$M$2:$M$37,MATCH(P$2,Galerias!$A$2:$A$37,0))&lt;&gt;"",$A28&gt;INDEX(Galerias!$M$2:$M$37,MATCH(P$2,Galerias!$A$2:$A$37,0))),"",ROUND(INDEX(Galerias!$N$2:$N$37,MATCH(P$2,Galerias!$A$2:$A$37,0))*INDEX(Galerias!$O$2:$O$37,MATCH(P$2,Galerias!$A$2:$A$37,0))^($A28-1),0))</f>
        <v/>
      </c>
      <c r="Q28" s="43">
        <f>IF(AND(INDEX(Galerias!$M$2:$M$37,MATCH(Q$2,Galerias!$A$2:$A$37,0))&lt;&gt;"",$A28&gt;INDEX(Galerias!$M$2:$M$37,MATCH(Q$2,Galerias!$A$2:$A$37,0))),"",ROUND(INDEX(Galerias!$N$2:$N$37,MATCH(Q$2,Galerias!$A$2:$A$37,0))*INDEX(Galerias!$O$2:$O$37,MATCH(Q$2,Galerias!$A$2:$A$37,0))^($A28-1),0))</f>
        <v/>
      </c>
      <c r="R28" s="43">
        <f>IF(AND(INDEX(Galerias!$M$2:$M$37,MATCH(R$2,Galerias!$A$2:$A$37,0))&lt;&gt;"",$A28&gt;INDEX(Galerias!$M$2:$M$37,MATCH(R$2,Galerias!$A$2:$A$37,0))),"",ROUND(INDEX(Galerias!$N$2:$N$37,MATCH(R$2,Galerias!$A$2:$A$37,0))*INDEX(Galerias!$O$2:$O$37,MATCH(R$2,Galerias!$A$2:$A$37,0))^($A28-1),0))</f>
        <v/>
      </c>
      <c r="S28" s="43">
        <f>IF(AND(INDEX(Galerias!$M$2:$M$37,MATCH(S$2,Galerias!$A$2:$A$37,0))&lt;&gt;"",$A28&gt;INDEX(Galerias!$M$2:$M$37,MATCH(S$2,Galerias!$A$2:$A$37,0))),"",ROUND(INDEX(Galerias!$N$2:$N$37,MATCH(S$2,Galerias!$A$2:$A$37,0))*INDEX(Galerias!$O$2:$O$37,MATCH(S$2,Galerias!$A$2:$A$37,0))^($A28-1),0))</f>
        <v/>
      </c>
      <c r="T28" s="43">
        <f>IF(AND(INDEX(Galerias!$M$2:$M$37,MATCH(T$2,Galerias!$A$2:$A$37,0))&lt;&gt;"",$A28&gt;INDEX(Galerias!$M$2:$M$37,MATCH(T$2,Galerias!$A$2:$A$37,0))),"",ROUND(INDEX(Galerias!$N$2:$N$37,MATCH(T$2,Galerias!$A$2:$A$37,0))*INDEX(Galerias!$O$2:$O$37,MATCH(T$2,Galerias!$A$2:$A$37,0))^($A28-1),0))</f>
        <v/>
      </c>
      <c r="U28" s="43">
        <f>IF(AND(INDEX(Galerias!$M$2:$M$37,MATCH(U$2,Galerias!$A$2:$A$37,0))&lt;&gt;"",$A28&gt;INDEX(Galerias!$M$2:$M$37,MATCH(U$2,Galerias!$A$2:$A$37,0))),"",ROUND(INDEX(Galerias!$N$2:$N$37,MATCH(U$2,Galerias!$A$2:$A$37,0))*INDEX(Galerias!$O$2:$O$37,MATCH(U$2,Galerias!$A$2:$A$37,0))^($A28-1),0))</f>
        <v/>
      </c>
      <c r="V28" s="43">
        <f>IF(AND(INDEX(Galerias!$M$2:$M$37,MATCH(V$2,Galerias!$A$2:$A$37,0))&lt;&gt;"",$A28&gt;INDEX(Galerias!$M$2:$M$37,MATCH(V$2,Galerias!$A$2:$A$37,0))),"",ROUND(INDEX(Galerias!$N$2:$N$37,MATCH(V$2,Galerias!$A$2:$A$37,0))*INDEX(Galerias!$O$2:$O$37,MATCH(V$2,Galerias!$A$2:$A$37,0))^($A28-1),0))</f>
        <v/>
      </c>
      <c r="W28" s="43">
        <f>IF(AND(INDEX(Galerias!$M$2:$M$37,MATCH(W$2,Galerias!$A$2:$A$37,0))&lt;&gt;"",$A28&gt;INDEX(Galerias!$M$2:$M$37,MATCH(W$2,Galerias!$A$2:$A$37,0))),"",ROUND(INDEX(Galerias!$N$2:$N$37,MATCH(W$2,Galerias!$A$2:$A$37,0))*INDEX(Galerias!$O$2:$O$37,MATCH(W$2,Galerias!$A$2:$A$37,0))^($A28-1),0))</f>
        <v/>
      </c>
      <c r="X28" s="43">
        <f>IF(AND(INDEX(Galerias!$M$2:$M$37,MATCH(X$2,Galerias!$A$2:$A$37,0))&lt;&gt;"",$A28&gt;INDEX(Galerias!$M$2:$M$37,MATCH(X$2,Galerias!$A$2:$A$37,0))),"",ROUND(INDEX(Galerias!$N$2:$N$37,MATCH(X$2,Galerias!$A$2:$A$37,0))*INDEX(Galerias!$O$2:$O$37,MATCH(X$2,Galerias!$A$2:$A$37,0))^($A28-1),0))</f>
        <v/>
      </c>
      <c r="Y28" s="43">
        <f>IF(AND(INDEX(Galerias!$M$2:$M$37,MATCH(Y$2,Galerias!$A$2:$A$37,0))&lt;&gt;"",$A28&gt;INDEX(Galerias!$M$2:$M$37,MATCH(Y$2,Galerias!$A$2:$A$37,0))),"",ROUND(INDEX(Galerias!$N$2:$N$37,MATCH(Y$2,Galerias!$A$2:$A$37,0))*INDEX(Galerias!$O$2:$O$37,MATCH(Y$2,Galerias!$A$2:$A$37,0))^($A28-1),0))</f>
        <v/>
      </c>
      <c r="Z28" s="43">
        <f>IF(AND(INDEX(Galerias!$M$2:$M$37,MATCH(Z$2,Galerias!$A$2:$A$37,0))&lt;&gt;"",$A28&gt;INDEX(Galerias!$M$2:$M$37,MATCH(Z$2,Galerias!$A$2:$A$37,0))),"",ROUND(INDEX(Galerias!$N$2:$N$37,MATCH(Z$2,Galerias!$A$2:$A$37,0))*INDEX(Galerias!$O$2:$O$37,MATCH(Z$2,Galerias!$A$2:$A$37,0))^($A28-1),0))</f>
        <v/>
      </c>
      <c r="AA28" s="43">
        <f>IF(AND(INDEX(Galerias!$M$2:$M$37,MATCH(AA$2,Galerias!$A$2:$A$37,0))&lt;&gt;"",$A28&gt;INDEX(Galerias!$M$2:$M$37,MATCH(AA$2,Galerias!$A$2:$A$37,0))),"",ROUND(INDEX(Galerias!$N$2:$N$37,MATCH(AA$2,Galerias!$A$2:$A$37,0))*INDEX(Galerias!$O$2:$O$37,MATCH(AA$2,Galerias!$A$2:$A$37,0))^($A28-1),0))</f>
        <v/>
      </c>
      <c r="AB28" s="43">
        <f>IF(AND(INDEX(Galerias!$M$2:$M$37,MATCH(AB$2,Galerias!$A$2:$A$37,0))&lt;&gt;"",$A28&gt;INDEX(Galerias!$M$2:$M$37,MATCH(AB$2,Galerias!$A$2:$A$37,0))),"",ROUND(INDEX(Galerias!$N$2:$N$37,MATCH(AB$2,Galerias!$A$2:$A$37,0))*INDEX(Galerias!$O$2:$O$37,MATCH(AB$2,Galerias!$A$2:$A$37,0))^($A28-1),0))</f>
        <v/>
      </c>
      <c r="AC28" s="43">
        <f>IF(AND(INDEX(Galerias!$M$2:$M$37,MATCH(AC$2,Galerias!$A$2:$A$37,0))&lt;&gt;"",$A28&gt;INDEX(Galerias!$M$2:$M$37,MATCH(AC$2,Galerias!$A$2:$A$37,0))),"",ROUND(INDEX(Galerias!$N$2:$N$37,MATCH(AC$2,Galerias!$A$2:$A$37,0))*INDEX(Galerias!$O$2:$O$37,MATCH(AC$2,Galerias!$A$2:$A$37,0))^($A28-1),0))</f>
        <v/>
      </c>
      <c r="AD28" s="43">
        <f>IF(AND(INDEX(Galerias!$M$2:$M$37,MATCH(AD$2,Galerias!$A$2:$A$37,0))&lt;&gt;"",$A28&gt;INDEX(Galerias!$M$2:$M$37,MATCH(AD$2,Galerias!$A$2:$A$37,0))),"",ROUND(INDEX(Galerias!$N$2:$N$37,MATCH(AD$2,Galerias!$A$2:$A$37,0))*INDEX(Galerias!$O$2:$O$37,MATCH(AD$2,Galerias!$A$2:$A$37,0))^($A28-1),0))</f>
        <v/>
      </c>
      <c r="AE28" s="43">
        <f>IF(AND(INDEX(Galerias!$M$2:$M$37,MATCH(AE$2,Galerias!$A$2:$A$37,0))&lt;&gt;"",$A28&gt;INDEX(Galerias!$M$2:$M$37,MATCH(AE$2,Galerias!$A$2:$A$37,0))),"",ROUND(INDEX(Galerias!$N$2:$N$37,MATCH(AE$2,Galerias!$A$2:$A$37,0))*INDEX(Galerias!$O$2:$O$37,MATCH(AE$2,Galerias!$A$2:$A$37,0))^($A28-1),0))</f>
        <v/>
      </c>
      <c r="AF28" s="43">
        <f>IF(AND(INDEX(Galerias!$M$2:$M$37,MATCH(AF$2,Galerias!$A$2:$A$37,0))&lt;&gt;"",$A28&gt;INDEX(Galerias!$M$2:$M$37,MATCH(AF$2,Galerias!$A$2:$A$37,0))),"",ROUND(INDEX(Galerias!$N$2:$N$37,MATCH(AF$2,Galerias!$A$2:$A$37,0))*INDEX(Galerias!$O$2:$O$37,MATCH(AF$2,Galerias!$A$2:$A$37,0))^($A28-1),0))</f>
        <v/>
      </c>
      <c r="AG28" s="43">
        <f>IF(AND(INDEX(Galerias!$M$2:$M$37,MATCH(AG$2,Galerias!$A$2:$A$37,0))&lt;&gt;"",$A28&gt;INDEX(Galerias!$M$2:$M$37,MATCH(AG$2,Galerias!$A$2:$A$37,0))),"",ROUND(INDEX(Galerias!$N$2:$N$37,MATCH(AG$2,Galerias!$A$2:$A$37,0))*INDEX(Galerias!$O$2:$O$37,MATCH(AG$2,Galerias!$A$2:$A$37,0))^($A28-1),0))</f>
        <v/>
      </c>
      <c r="AH28" s="43">
        <f>IF(AND(INDEX(Galerias!$M$2:$M$37,MATCH(AH$2,Galerias!$A$2:$A$37,0))&lt;&gt;"",$A28&gt;INDEX(Galerias!$M$2:$M$37,MATCH(AH$2,Galerias!$A$2:$A$37,0))),"",ROUND(INDEX(Galerias!$N$2:$N$37,MATCH(AH$2,Galerias!$A$2:$A$37,0))*INDEX(Galerias!$O$2:$O$37,MATCH(AH$2,Galerias!$A$2:$A$37,0))^($A28-1),0))</f>
        <v/>
      </c>
      <c r="AI28" s="43">
        <f>IF(AND(INDEX(Galerias!$M$2:$M$37,MATCH(AI$2,Galerias!$A$2:$A$37,0))&lt;&gt;"",$A28&gt;INDEX(Galerias!$M$2:$M$37,MATCH(AI$2,Galerias!$A$2:$A$37,0))),"",ROUND(INDEX(Galerias!$N$2:$N$37,MATCH(AI$2,Galerias!$A$2:$A$37,0))*INDEX(Galerias!$O$2:$O$37,MATCH(AI$2,Galerias!$A$2:$A$37,0))^($A28-1),0))</f>
        <v/>
      </c>
      <c r="AJ28" s="43">
        <f>IF(AND(INDEX(Galerias!$M$2:$M$37,MATCH(AJ$2,Galerias!$A$2:$A$37,0))&lt;&gt;"",$A28&gt;INDEX(Galerias!$M$2:$M$37,MATCH(AJ$2,Galerias!$A$2:$A$37,0))),"",ROUND(INDEX(Galerias!$N$2:$N$37,MATCH(AJ$2,Galerias!$A$2:$A$37,0))*INDEX(Galerias!$O$2:$O$37,MATCH(AJ$2,Galerias!$A$2:$A$37,0))^($A28-1),0))</f>
        <v/>
      </c>
      <c r="AK28" s="43">
        <f>IF(AND(INDEX(Galerias!$M$2:$M$37,MATCH(AK$2,Galerias!$A$2:$A$37,0))&lt;&gt;"",$A28&gt;INDEX(Galerias!$M$2:$M$37,MATCH(AK$2,Galerias!$A$2:$A$37,0))),"",ROUND(INDEX(Galerias!$N$2:$N$37,MATCH(AK$2,Galerias!$A$2:$A$37,0))*INDEX(Galerias!$O$2:$O$37,MATCH(AK$2,Galerias!$A$2:$A$37,0))^($A28-1),0))</f>
        <v/>
      </c>
    </row>
    <row r="29" ht="15" customHeight="1" s="23">
      <c r="A29" s="25" t="n">
        <v>27</v>
      </c>
      <c r="B29" s="43">
        <f>IF(AND(INDEX(Galerias!$M$2:$M$37,MATCH(B$2,Galerias!$A$2:$A$37,0))&lt;&gt;"",$A29&gt;INDEX(Galerias!$M$2:$M$37,MATCH(B$2,Galerias!$A$2:$A$37,0))),"",ROUND(INDEX(Galerias!$N$2:$N$37,MATCH(B$2,Galerias!$A$2:$A$37,0))*INDEX(Galerias!$O$2:$O$37,MATCH(B$2,Galerias!$A$2:$A$37,0))^($A29-1),0))</f>
        <v/>
      </c>
      <c r="C29" s="43">
        <f>IF(AND(INDEX(Galerias!$M$2:$M$37,MATCH(C$2,Galerias!$A$2:$A$37,0))&lt;&gt;"",$A29&gt;INDEX(Galerias!$M$2:$M$37,MATCH(C$2,Galerias!$A$2:$A$37,0))),"",ROUND(INDEX(Galerias!$N$2:$N$37,MATCH(C$2,Galerias!$A$2:$A$37,0))*INDEX(Galerias!$O$2:$O$37,MATCH(C$2,Galerias!$A$2:$A$37,0))^($A29-1),0))</f>
        <v/>
      </c>
      <c r="D29" s="43">
        <f>IF(AND(INDEX(Galerias!$M$2:$M$37,MATCH(D$2,Galerias!$A$2:$A$37,0))&lt;&gt;"",$A29&gt;INDEX(Galerias!$M$2:$M$37,MATCH(D$2,Galerias!$A$2:$A$37,0))),"",ROUND(INDEX(Galerias!$N$2:$N$37,MATCH(D$2,Galerias!$A$2:$A$37,0))*INDEX(Galerias!$O$2:$O$37,MATCH(D$2,Galerias!$A$2:$A$37,0))^($A29-1),0))</f>
        <v/>
      </c>
      <c r="E29" s="43">
        <f>IF(AND(INDEX(Galerias!$M$2:$M$37,MATCH(E$2,Galerias!$A$2:$A$37,0))&lt;&gt;"",$A29&gt;INDEX(Galerias!$M$2:$M$37,MATCH(E$2,Galerias!$A$2:$A$37,0))),"",ROUND(INDEX(Galerias!$N$2:$N$37,MATCH(E$2,Galerias!$A$2:$A$37,0))*INDEX(Galerias!$O$2:$O$37,MATCH(E$2,Galerias!$A$2:$A$37,0))^($A29-1),0))</f>
        <v/>
      </c>
      <c r="F29" s="43">
        <f>IF(AND(INDEX(Galerias!$M$2:$M$37,MATCH(F$2,Galerias!$A$2:$A$37,0))&lt;&gt;"",$A29&gt;INDEX(Galerias!$M$2:$M$37,MATCH(F$2,Galerias!$A$2:$A$37,0))),"",ROUND(INDEX(Galerias!$N$2:$N$37,MATCH(F$2,Galerias!$A$2:$A$37,0))*INDEX(Galerias!$O$2:$O$37,MATCH(F$2,Galerias!$A$2:$A$37,0))^($A29-1),0))</f>
        <v/>
      </c>
      <c r="G29" s="43">
        <f>IF(AND(INDEX(Galerias!$M$2:$M$37,MATCH(G$2,Galerias!$A$2:$A$37,0))&lt;&gt;"",$A29&gt;INDEX(Galerias!$M$2:$M$37,MATCH(G$2,Galerias!$A$2:$A$37,0))),"",ROUND(INDEX(Galerias!$N$2:$N$37,MATCH(G$2,Galerias!$A$2:$A$37,0))*INDEX(Galerias!$O$2:$O$37,MATCH(G$2,Galerias!$A$2:$A$37,0))^($A29-1),0))</f>
        <v/>
      </c>
      <c r="H29" s="43">
        <f>IF(AND(INDEX(Galerias!$M$2:$M$37,MATCH(H$2,Galerias!$A$2:$A$37,0))&lt;&gt;"",$A29&gt;INDEX(Galerias!$M$2:$M$37,MATCH(H$2,Galerias!$A$2:$A$37,0))),"",ROUND(INDEX(Galerias!$N$2:$N$37,MATCH(H$2,Galerias!$A$2:$A$37,0))*INDEX(Galerias!$O$2:$O$37,MATCH(H$2,Galerias!$A$2:$A$37,0))^($A29-1),0))</f>
        <v/>
      </c>
      <c r="I29" s="43">
        <f>IF(AND(INDEX(Galerias!$M$2:$M$37,MATCH(I$2,Galerias!$A$2:$A$37,0))&lt;&gt;"",$A29&gt;INDEX(Galerias!$M$2:$M$37,MATCH(I$2,Galerias!$A$2:$A$37,0))),"",ROUND(INDEX(Galerias!$N$2:$N$37,MATCH(I$2,Galerias!$A$2:$A$37,0))*INDEX(Galerias!$O$2:$O$37,MATCH(I$2,Galerias!$A$2:$A$37,0))^($A29-1),0))</f>
        <v/>
      </c>
      <c r="J29" s="43">
        <f>IF(AND(INDEX(Galerias!$M$2:$M$37,MATCH(J$2,Galerias!$A$2:$A$37,0))&lt;&gt;"",$A29&gt;INDEX(Galerias!$M$2:$M$37,MATCH(J$2,Galerias!$A$2:$A$37,0))),"",ROUND(INDEX(Galerias!$N$2:$N$37,MATCH(J$2,Galerias!$A$2:$A$37,0))*INDEX(Galerias!$O$2:$O$37,MATCH(J$2,Galerias!$A$2:$A$37,0))^($A29-1),0))</f>
        <v/>
      </c>
      <c r="K29" s="43">
        <f>IF(AND(INDEX(Galerias!$M$2:$M$37,MATCH(K$2,Galerias!$A$2:$A$37,0))&lt;&gt;"",$A29&gt;INDEX(Galerias!$M$2:$M$37,MATCH(K$2,Galerias!$A$2:$A$37,0))),"",ROUND(INDEX(Galerias!$N$2:$N$37,MATCH(K$2,Galerias!$A$2:$A$37,0))*INDEX(Galerias!$O$2:$O$37,MATCH(K$2,Galerias!$A$2:$A$37,0))^($A29-1),0))</f>
        <v/>
      </c>
      <c r="L29" s="43">
        <f>IF(AND(INDEX(Galerias!$M$2:$M$37,MATCH(L$2,Galerias!$A$2:$A$37,0))&lt;&gt;"",$A29&gt;INDEX(Galerias!$M$2:$M$37,MATCH(L$2,Galerias!$A$2:$A$37,0))),"",ROUND(INDEX(Galerias!$N$2:$N$37,MATCH(L$2,Galerias!$A$2:$A$37,0))*INDEX(Galerias!$O$2:$O$37,MATCH(L$2,Galerias!$A$2:$A$37,0))^($A29-1),0))</f>
        <v/>
      </c>
      <c r="M29" s="43">
        <f>IF(AND(INDEX(Galerias!$M$2:$M$37,MATCH(M$2,Galerias!$A$2:$A$37,0))&lt;&gt;"",$A29&gt;INDEX(Galerias!$M$2:$M$37,MATCH(M$2,Galerias!$A$2:$A$37,0))),"",ROUND(INDEX(Galerias!$N$2:$N$37,MATCH(M$2,Galerias!$A$2:$A$37,0))*INDEX(Galerias!$O$2:$O$37,MATCH(M$2,Galerias!$A$2:$A$37,0))^($A29-1),0))</f>
        <v/>
      </c>
      <c r="N29" s="43">
        <f>IF(AND(INDEX(Galerias!$M$2:$M$37,MATCH(N$2,Galerias!$A$2:$A$37,0))&lt;&gt;"",$A29&gt;INDEX(Galerias!$M$2:$M$37,MATCH(N$2,Galerias!$A$2:$A$37,0))),"",ROUND(INDEX(Galerias!$N$2:$N$37,MATCH(N$2,Galerias!$A$2:$A$37,0))*INDEX(Galerias!$O$2:$O$37,MATCH(N$2,Galerias!$A$2:$A$37,0))^($A29-1),0))</f>
        <v/>
      </c>
      <c r="O29" s="43">
        <f>IF(AND(INDEX(Galerias!$M$2:$M$37,MATCH(O$2,Galerias!$A$2:$A$37,0))&lt;&gt;"",$A29&gt;INDEX(Galerias!$M$2:$M$37,MATCH(O$2,Galerias!$A$2:$A$37,0))),"",ROUND(INDEX(Galerias!$N$2:$N$37,MATCH(O$2,Galerias!$A$2:$A$37,0))*INDEX(Galerias!$O$2:$O$37,MATCH(O$2,Galerias!$A$2:$A$37,0))^($A29-1),0))</f>
        <v/>
      </c>
      <c r="P29" s="43">
        <f>IF(AND(INDEX(Galerias!$M$2:$M$37,MATCH(P$2,Galerias!$A$2:$A$37,0))&lt;&gt;"",$A29&gt;INDEX(Galerias!$M$2:$M$37,MATCH(P$2,Galerias!$A$2:$A$37,0))),"",ROUND(INDEX(Galerias!$N$2:$N$37,MATCH(P$2,Galerias!$A$2:$A$37,0))*INDEX(Galerias!$O$2:$O$37,MATCH(P$2,Galerias!$A$2:$A$37,0))^($A29-1),0))</f>
        <v/>
      </c>
      <c r="Q29" s="43">
        <f>IF(AND(INDEX(Galerias!$M$2:$M$37,MATCH(Q$2,Galerias!$A$2:$A$37,0))&lt;&gt;"",$A29&gt;INDEX(Galerias!$M$2:$M$37,MATCH(Q$2,Galerias!$A$2:$A$37,0))),"",ROUND(INDEX(Galerias!$N$2:$N$37,MATCH(Q$2,Galerias!$A$2:$A$37,0))*INDEX(Galerias!$O$2:$O$37,MATCH(Q$2,Galerias!$A$2:$A$37,0))^($A29-1),0))</f>
        <v/>
      </c>
      <c r="R29" s="43">
        <f>IF(AND(INDEX(Galerias!$M$2:$M$37,MATCH(R$2,Galerias!$A$2:$A$37,0))&lt;&gt;"",$A29&gt;INDEX(Galerias!$M$2:$M$37,MATCH(R$2,Galerias!$A$2:$A$37,0))),"",ROUND(INDEX(Galerias!$N$2:$N$37,MATCH(R$2,Galerias!$A$2:$A$37,0))*INDEX(Galerias!$O$2:$O$37,MATCH(R$2,Galerias!$A$2:$A$37,0))^($A29-1),0))</f>
        <v/>
      </c>
      <c r="S29" s="43">
        <f>IF(AND(INDEX(Galerias!$M$2:$M$37,MATCH(S$2,Galerias!$A$2:$A$37,0))&lt;&gt;"",$A29&gt;INDEX(Galerias!$M$2:$M$37,MATCH(S$2,Galerias!$A$2:$A$37,0))),"",ROUND(INDEX(Galerias!$N$2:$N$37,MATCH(S$2,Galerias!$A$2:$A$37,0))*INDEX(Galerias!$O$2:$O$37,MATCH(S$2,Galerias!$A$2:$A$37,0))^($A29-1),0))</f>
        <v/>
      </c>
      <c r="T29" s="43">
        <f>IF(AND(INDEX(Galerias!$M$2:$M$37,MATCH(T$2,Galerias!$A$2:$A$37,0))&lt;&gt;"",$A29&gt;INDEX(Galerias!$M$2:$M$37,MATCH(T$2,Galerias!$A$2:$A$37,0))),"",ROUND(INDEX(Galerias!$N$2:$N$37,MATCH(T$2,Galerias!$A$2:$A$37,0))*INDEX(Galerias!$O$2:$O$37,MATCH(T$2,Galerias!$A$2:$A$37,0))^($A29-1),0))</f>
        <v/>
      </c>
      <c r="U29" s="43">
        <f>IF(AND(INDEX(Galerias!$M$2:$M$37,MATCH(U$2,Galerias!$A$2:$A$37,0))&lt;&gt;"",$A29&gt;INDEX(Galerias!$M$2:$M$37,MATCH(U$2,Galerias!$A$2:$A$37,0))),"",ROUND(INDEX(Galerias!$N$2:$N$37,MATCH(U$2,Galerias!$A$2:$A$37,0))*INDEX(Galerias!$O$2:$O$37,MATCH(U$2,Galerias!$A$2:$A$37,0))^($A29-1),0))</f>
        <v/>
      </c>
      <c r="V29" s="43">
        <f>IF(AND(INDEX(Galerias!$M$2:$M$37,MATCH(V$2,Galerias!$A$2:$A$37,0))&lt;&gt;"",$A29&gt;INDEX(Galerias!$M$2:$M$37,MATCH(V$2,Galerias!$A$2:$A$37,0))),"",ROUND(INDEX(Galerias!$N$2:$N$37,MATCH(V$2,Galerias!$A$2:$A$37,0))*INDEX(Galerias!$O$2:$O$37,MATCH(V$2,Galerias!$A$2:$A$37,0))^($A29-1),0))</f>
        <v/>
      </c>
      <c r="W29" s="43">
        <f>IF(AND(INDEX(Galerias!$M$2:$M$37,MATCH(W$2,Galerias!$A$2:$A$37,0))&lt;&gt;"",$A29&gt;INDEX(Galerias!$M$2:$M$37,MATCH(W$2,Galerias!$A$2:$A$37,0))),"",ROUND(INDEX(Galerias!$N$2:$N$37,MATCH(W$2,Galerias!$A$2:$A$37,0))*INDEX(Galerias!$O$2:$O$37,MATCH(W$2,Galerias!$A$2:$A$37,0))^($A29-1),0))</f>
        <v/>
      </c>
      <c r="X29" s="43">
        <f>IF(AND(INDEX(Galerias!$M$2:$M$37,MATCH(X$2,Galerias!$A$2:$A$37,0))&lt;&gt;"",$A29&gt;INDEX(Galerias!$M$2:$M$37,MATCH(X$2,Galerias!$A$2:$A$37,0))),"",ROUND(INDEX(Galerias!$N$2:$N$37,MATCH(X$2,Galerias!$A$2:$A$37,0))*INDEX(Galerias!$O$2:$O$37,MATCH(X$2,Galerias!$A$2:$A$37,0))^($A29-1),0))</f>
        <v/>
      </c>
      <c r="Y29" s="43">
        <f>IF(AND(INDEX(Galerias!$M$2:$M$37,MATCH(Y$2,Galerias!$A$2:$A$37,0))&lt;&gt;"",$A29&gt;INDEX(Galerias!$M$2:$M$37,MATCH(Y$2,Galerias!$A$2:$A$37,0))),"",ROUND(INDEX(Galerias!$N$2:$N$37,MATCH(Y$2,Galerias!$A$2:$A$37,0))*INDEX(Galerias!$O$2:$O$37,MATCH(Y$2,Galerias!$A$2:$A$37,0))^($A29-1),0))</f>
        <v/>
      </c>
      <c r="Z29" s="43">
        <f>IF(AND(INDEX(Galerias!$M$2:$M$37,MATCH(Z$2,Galerias!$A$2:$A$37,0))&lt;&gt;"",$A29&gt;INDEX(Galerias!$M$2:$M$37,MATCH(Z$2,Galerias!$A$2:$A$37,0))),"",ROUND(INDEX(Galerias!$N$2:$N$37,MATCH(Z$2,Galerias!$A$2:$A$37,0))*INDEX(Galerias!$O$2:$O$37,MATCH(Z$2,Galerias!$A$2:$A$37,0))^($A29-1),0))</f>
        <v/>
      </c>
      <c r="AA29" s="43">
        <f>IF(AND(INDEX(Galerias!$M$2:$M$37,MATCH(AA$2,Galerias!$A$2:$A$37,0))&lt;&gt;"",$A29&gt;INDEX(Galerias!$M$2:$M$37,MATCH(AA$2,Galerias!$A$2:$A$37,0))),"",ROUND(INDEX(Galerias!$N$2:$N$37,MATCH(AA$2,Galerias!$A$2:$A$37,0))*INDEX(Galerias!$O$2:$O$37,MATCH(AA$2,Galerias!$A$2:$A$37,0))^($A29-1),0))</f>
        <v/>
      </c>
      <c r="AB29" s="43">
        <f>IF(AND(INDEX(Galerias!$M$2:$M$37,MATCH(AB$2,Galerias!$A$2:$A$37,0))&lt;&gt;"",$A29&gt;INDEX(Galerias!$M$2:$M$37,MATCH(AB$2,Galerias!$A$2:$A$37,0))),"",ROUND(INDEX(Galerias!$N$2:$N$37,MATCH(AB$2,Galerias!$A$2:$A$37,0))*INDEX(Galerias!$O$2:$O$37,MATCH(AB$2,Galerias!$A$2:$A$37,0))^($A29-1),0))</f>
        <v/>
      </c>
      <c r="AC29" s="43">
        <f>IF(AND(INDEX(Galerias!$M$2:$M$37,MATCH(AC$2,Galerias!$A$2:$A$37,0))&lt;&gt;"",$A29&gt;INDEX(Galerias!$M$2:$M$37,MATCH(AC$2,Galerias!$A$2:$A$37,0))),"",ROUND(INDEX(Galerias!$N$2:$N$37,MATCH(AC$2,Galerias!$A$2:$A$37,0))*INDEX(Galerias!$O$2:$O$37,MATCH(AC$2,Galerias!$A$2:$A$37,0))^($A29-1),0))</f>
        <v/>
      </c>
      <c r="AD29" s="43">
        <f>IF(AND(INDEX(Galerias!$M$2:$M$37,MATCH(AD$2,Galerias!$A$2:$A$37,0))&lt;&gt;"",$A29&gt;INDEX(Galerias!$M$2:$M$37,MATCH(AD$2,Galerias!$A$2:$A$37,0))),"",ROUND(INDEX(Galerias!$N$2:$N$37,MATCH(AD$2,Galerias!$A$2:$A$37,0))*INDEX(Galerias!$O$2:$O$37,MATCH(AD$2,Galerias!$A$2:$A$37,0))^($A29-1),0))</f>
        <v/>
      </c>
      <c r="AE29" s="43">
        <f>IF(AND(INDEX(Galerias!$M$2:$M$37,MATCH(AE$2,Galerias!$A$2:$A$37,0))&lt;&gt;"",$A29&gt;INDEX(Galerias!$M$2:$M$37,MATCH(AE$2,Galerias!$A$2:$A$37,0))),"",ROUND(INDEX(Galerias!$N$2:$N$37,MATCH(AE$2,Galerias!$A$2:$A$37,0))*INDEX(Galerias!$O$2:$O$37,MATCH(AE$2,Galerias!$A$2:$A$37,0))^($A29-1),0))</f>
        <v/>
      </c>
      <c r="AF29" s="43">
        <f>IF(AND(INDEX(Galerias!$M$2:$M$37,MATCH(AF$2,Galerias!$A$2:$A$37,0))&lt;&gt;"",$A29&gt;INDEX(Galerias!$M$2:$M$37,MATCH(AF$2,Galerias!$A$2:$A$37,0))),"",ROUND(INDEX(Galerias!$N$2:$N$37,MATCH(AF$2,Galerias!$A$2:$A$37,0))*INDEX(Galerias!$O$2:$O$37,MATCH(AF$2,Galerias!$A$2:$A$37,0))^($A29-1),0))</f>
        <v/>
      </c>
      <c r="AG29" s="43">
        <f>IF(AND(INDEX(Galerias!$M$2:$M$37,MATCH(AG$2,Galerias!$A$2:$A$37,0))&lt;&gt;"",$A29&gt;INDEX(Galerias!$M$2:$M$37,MATCH(AG$2,Galerias!$A$2:$A$37,0))),"",ROUND(INDEX(Galerias!$N$2:$N$37,MATCH(AG$2,Galerias!$A$2:$A$37,0))*INDEX(Galerias!$O$2:$O$37,MATCH(AG$2,Galerias!$A$2:$A$37,0))^($A29-1),0))</f>
        <v/>
      </c>
      <c r="AH29" s="43">
        <f>IF(AND(INDEX(Galerias!$M$2:$M$37,MATCH(AH$2,Galerias!$A$2:$A$37,0))&lt;&gt;"",$A29&gt;INDEX(Galerias!$M$2:$M$37,MATCH(AH$2,Galerias!$A$2:$A$37,0))),"",ROUND(INDEX(Galerias!$N$2:$N$37,MATCH(AH$2,Galerias!$A$2:$A$37,0))*INDEX(Galerias!$O$2:$O$37,MATCH(AH$2,Galerias!$A$2:$A$37,0))^($A29-1),0))</f>
        <v/>
      </c>
      <c r="AI29" s="43">
        <f>IF(AND(INDEX(Galerias!$M$2:$M$37,MATCH(AI$2,Galerias!$A$2:$A$37,0))&lt;&gt;"",$A29&gt;INDEX(Galerias!$M$2:$M$37,MATCH(AI$2,Galerias!$A$2:$A$37,0))),"",ROUND(INDEX(Galerias!$N$2:$N$37,MATCH(AI$2,Galerias!$A$2:$A$37,0))*INDEX(Galerias!$O$2:$O$37,MATCH(AI$2,Galerias!$A$2:$A$37,0))^($A29-1),0))</f>
        <v/>
      </c>
      <c r="AJ29" s="43">
        <f>IF(AND(INDEX(Galerias!$M$2:$M$37,MATCH(AJ$2,Galerias!$A$2:$A$37,0))&lt;&gt;"",$A29&gt;INDEX(Galerias!$M$2:$M$37,MATCH(AJ$2,Galerias!$A$2:$A$37,0))),"",ROUND(INDEX(Galerias!$N$2:$N$37,MATCH(AJ$2,Galerias!$A$2:$A$37,0))*INDEX(Galerias!$O$2:$O$37,MATCH(AJ$2,Galerias!$A$2:$A$37,0))^($A29-1),0))</f>
        <v/>
      </c>
      <c r="AK29" s="43">
        <f>IF(AND(INDEX(Galerias!$M$2:$M$37,MATCH(AK$2,Galerias!$A$2:$A$37,0))&lt;&gt;"",$A29&gt;INDEX(Galerias!$M$2:$M$37,MATCH(AK$2,Galerias!$A$2:$A$37,0))),"",ROUND(INDEX(Galerias!$N$2:$N$37,MATCH(AK$2,Galerias!$A$2:$A$37,0))*INDEX(Galerias!$O$2:$O$37,MATCH(AK$2,Galerias!$A$2:$A$37,0))^($A29-1),0))</f>
        <v/>
      </c>
    </row>
    <row r="30" ht="15" customHeight="1" s="23">
      <c r="A30" s="25" t="n">
        <v>28</v>
      </c>
      <c r="B30" s="43">
        <f>IF(AND(INDEX(Galerias!$M$2:$M$37,MATCH(B$2,Galerias!$A$2:$A$37,0))&lt;&gt;"",$A30&gt;INDEX(Galerias!$M$2:$M$37,MATCH(B$2,Galerias!$A$2:$A$37,0))),"",ROUND(INDEX(Galerias!$N$2:$N$37,MATCH(B$2,Galerias!$A$2:$A$37,0))*INDEX(Galerias!$O$2:$O$37,MATCH(B$2,Galerias!$A$2:$A$37,0))^($A30-1),0))</f>
        <v/>
      </c>
      <c r="C30" s="43">
        <f>IF(AND(INDEX(Galerias!$M$2:$M$37,MATCH(C$2,Galerias!$A$2:$A$37,0))&lt;&gt;"",$A30&gt;INDEX(Galerias!$M$2:$M$37,MATCH(C$2,Galerias!$A$2:$A$37,0))),"",ROUND(INDEX(Galerias!$N$2:$N$37,MATCH(C$2,Galerias!$A$2:$A$37,0))*INDEX(Galerias!$O$2:$O$37,MATCH(C$2,Galerias!$A$2:$A$37,0))^($A30-1),0))</f>
        <v/>
      </c>
      <c r="D30" s="43">
        <f>IF(AND(INDEX(Galerias!$M$2:$M$37,MATCH(D$2,Galerias!$A$2:$A$37,0))&lt;&gt;"",$A30&gt;INDEX(Galerias!$M$2:$M$37,MATCH(D$2,Galerias!$A$2:$A$37,0))),"",ROUND(INDEX(Galerias!$N$2:$N$37,MATCH(D$2,Galerias!$A$2:$A$37,0))*INDEX(Galerias!$O$2:$O$37,MATCH(D$2,Galerias!$A$2:$A$37,0))^($A30-1),0))</f>
        <v/>
      </c>
      <c r="E30" s="43">
        <f>IF(AND(INDEX(Galerias!$M$2:$M$37,MATCH(E$2,Galerias!$A$2:$A$37,0))&lt;&gt;"",$A30&gt;INDEX(Galerias!$M$2:$M$37,MATCH(E$2,Galerias!$A$2:$A$37,0))),"",ROUND(INDEX(Galerias!$N$2:$N$37,MATCH(E$2,Galerias!$A$2:$A$37,0))*INDEX(Galerias!$O$2:$O$37,MATCH(E$2,Galerias!$A$2:$A$37,0))^($A30-1),0))</f>
        <v/>
      </c>
      <c r="F30" s="43">
        <f>IF(AND(INDEX(Galerias!$M$2:$M$37,MATCH(F$2,Galerias!$A$2:$A$37,0))&lt;&gt;"",$A30&gt;INDEX(Galerias!$M$2:$M$37,MATCH(F$2,Galerias!$A$2:$A$37,0))),"",ROUND(INDEX(Galerias!$N$2:$N$37,MATCH(F$2,Galerias!$A$2:$A$37,0))*INDEX(Galerias!$O$2:$O$37,MATCH(F$2,Galerias!$A$2:$A$37,0))^($A30-1),0))</f>
        <v/>
      </c>
      <c r="G30" s="43">
        <f>IF(AND(INDEX(Galerias!$M$2:$M$37,MATCH(G$2,Galerias!$A$2:$A$37,0))&lt;&gt;"",$A30&gt;INDEX(Galerias!$M$2:$M$37,MATCH(G$2,Galerias!$A$2:$A$37,0))),"",ROUND(INDEX(Galerias!$N$2:$N$37,MATCH(G$2,Galerias!$A$2:$A$37,0))*INDEX(Galerias!$O$2:$O$37,MATCH(G$2,Galerias!$A$2:$A$37,0))^($A30-1),0))</f>
        <v/>
      </c>
      <c r="H30" s="43">
        <f>IF(AND(INDEX(Galerias!$M$2:$M$37,MATCH(H$2,Galerias!$A$2:$A$37,0))&lt;&gt;"",$A30&gt;INDEX(Galerias!$M$2:$M$37,MATCH(H$2,Galerias!$A$2:$A$37,0))),"",ROUND(INDEX(Galerias!$N$2:$N$37,MATCH(H$2,Galerias!$A$2:$A$37,0))*INDEX(Galerias!$O$2:$O$37,MATCH(H$2,Galerias!$A$2:$A$37,0))^($A30-1),0))</f>
        <v/>
      </c>
      <c r="I30" s="43">
        <f>IF(AND(INDEX(Galerias!$M$2:$M$37,MATCH(I$2,Galerias!$A$2:$A$37,0))&lt;&gt;"",$A30&gt;INDEX(Galerias!$M$2:$M$37,MATCH(I$2,Galerias!$A$2:$A$37,0))),"",ROUND(INDEX(Galerias!$N$2:$N$37,MATCH(I$2,Galerias!$A$2:$A$37,0))*INDEX(Galerias!$O$2:$O$37,MATCH(I$2,Galerias!$A$2:$A$37,0))^($A30-1),0))</f>
        <v/>
      </c>
      <c r="J30" s="43">
        <f>IF(AND(INDEX(Galerias!$M$2:$M$37,MATCH(J$2,Galerias!$A$2:$A$37,0))&lt;&gt;"",$A30&gt;INDEX(Galerias!$M$2:$M$37,MATCH(J$2,Galerias!$A$2:$A$37,0))),"",ROUND(INDEX(Galerias!$N$2:$N$37,MATCH(J$2,Galerias!$A$2:$A$37,0))*INDEX(Galerias!$O$2:$O$37,MATCH(J$2,Galerias!$A$2:$A$37,0))^($A30-1),0))</f>
        <v/>
      </c>
      <c r="K30" s="43">
        <f>IF(AND(INDEX(Galerias!$M$2:$M$37,MATCH(K$2,Galerias!$A$2:$A$37,0))&lt;&gt;"",$A30&gt;INDEX(Galerias!$M$2:$M$37,MATCH(K$2,Galerias!$A$2:$A$37,0))),"",ROUND(INDEX(Galerias!$N$2:$N$37,MATCH(K$2,Galerias!$A$2:$A$37,0))*INDEX(Galerias!$O$2:$O$37,MATCH(K$2,Galerias!$A$2:$A$37,0))^($A30-1),0))</f>
        <v/>
      </c>
      <c r="L30" s="43">
        <f>IF(AND(INDEX(Galerias!$M$2:$M$37,MATCH(L$2,Galerias!$A$2:$A$37,0))&lt;&gt;"",$A30&gt;INDEX(Galerias!$M$2:$M$37,MATCH(L$2,Galerias!$A$2:$A$37,0))),"",ROUND(INDEX(Galerias!$N$2:$N$37,MATCH(L$2,Galerias!$A$2:$A$37,0))*INDEX(Galerias!$O$2:$O$37,MATCH(L$2,Galerias!$A$2:$A$37,0))^($A30-1),0))</f>
        <v/>
      </c>
      <c r="M30" s="43">
        <f>IF(AND(INDEX(Galerias!$M$2:$M$37,MATCH(M$2,Galerias!$A$2:$A$37,0))&lt;&gt;"",$A30&gt;INDEX(Galerias!$M$2:$M$37,MATCH(M$2,Galerias!$A$2:$A$37,0))),"",ROUND(INDEX(Galerias!$N$2:$N$37,MATCH(M$2,Galerias!$A$2:$A$37,0))*INDEX(Galerias!$O$2:$O$37,MATCH(M$2,Galerias!$A$2:$A$37,0))^($A30-1),0))</f>
        <v/>
      </c>
      <c r="N30" s="43">
        <f>IF(AND(INDEX(Galerias!$M$2:$M$37,MATCH(N$2,Galerias!$A$2:$A$37,0))&lt;&gt;"",$A30&gt;INDEX(Galerias!$M$2:$M$37,MATCH(N$2,Galerias!$A$2:$A$37,0))),"",ROUND(INDEX(Galerias!$N$2:$N$37,MATCH(N$2,Galerias!$A$2:$A$37,0))*INDEX(Galerias!$O$2:$O$37,MATCH(N$2,Galerias!$A$2:$A$37,0))^($A30-1),0))</f>
        <v/>
      </c>
      <c r="O30" s="43">
        <f>IF(AND(INDEX(Galerias!$M$2:$M$37,MATCH(O$2,Galerias!$A$2:$A$37,0))&lt;&gt;"",$A30&gt;INDEX(Galerias!$M$2:$M$37,MATCH(O$2,Galerias!$A$2:$A$37,0))),"",ROUND(INDEX(Galerias!$N$2:$N$37,MATCH(O$2,Galerias!$A$2:$A$37,0))*INDEX(Galerias!$O$2:$O$37,MATCH(O$2,Galerias!$A$2:$A$37,0))^($A30-1),0))</f>
        <v/>
      </c>
      <c r="P30" s="43">
        <f>IF(AND(INDEX(Galerias!$M$2:$M$37,MATCH(P$2,Galerias!$A$2:$A$37,0))&lt;&gt;"",$A30&gt;INDEX(Galerias!$M$2:$M$37,MATCH(P$2,Galerias!$A$2:$A$37,0))),"",ROUND(INDEX(Galerias!$N$2:$N$37,MATCH(P$2,Galerias!$A$2:$A$37,0))*INDEX(Galerias!$O$2:$O$37,MATCH(P$2,Galerias!$A$2:$A$37,0))^($A30-1),0))</f>
        <v/>
      </c>
      <c r="Q30" s="43">
        <f>IF(AND(INDEX(Galerias!$M$2:$M$37,MATCH(Q$2,Galerias!$A$2:$A$37,0))&lt;&gt;"",$A30&gt;INDEX(Galerias!$M$2:$M$37,MATCH(Q$2,Galerias!$A$2:$A$37,0))),"",ROUND(INDEX(Galerias!$N$2:$N$37,MATCH(Q$2,Galerias!$A$2:$A$37,0))*INDEX(Galerias!$O$2:$O$37,MATCH(Q$2,Galerias!$A$2:$A$37,0))^($A30-1),0))</f>
        <v/>
      </c>
      <c r="R30" s="43">
        <f>IF(AND(INDEX(Galerias!$M$2:$M$37,MATCH(R$2,Galerias!$A$2:$A$37,0))&lt;&gt;"",$A30&gt;INDEX(Galerias!$M$2:$M$37,MATCH(R$2,Galerias!$A$2:$A$37,0))),"",ROUND(INDEX(Galerias!$N$2:$N$37,MATCH(R$2,Galerias!$A$2:$A$37,0))*INDEX(Galerias!$O$2:$O$37,MATCH(R$2,Galerias!$A$2:$A$37,0))^($A30-1),0))</f>
        <v/>
      </c>
      <c r="S30" s="43">
        <f>IF(AND(INDEX(Galerias!$M$2:$M$37,MATCH(S$2,Galerias!$A$2:$A$37,0))&lt;&gt;"",$A30&gt;INDEX(Galerias!$M$2:$M$37,MATCH(S$2,Galerias!$A$2:$A$37,0))),"",ROUND(INDEX(Galerias!$N$2:$N$37,MATCH(S$2,Galerias!$A$2:$A$37,0))*INDEX(Galerias!$O$2:$O$37,MATCH(S$2,Galerias!$A$2:$A$37,0))^($A30-1),0))</f>
        <v/>
      </c>
      <c r="T30" s="43">
        <f>IF(AND(INDEX(Galerias!$M$2:$M$37,MATCH(T$2,Galerias!$A$2:$A$37,0))&lt;&gt;"",$A30&gt;INDEX(Galerias!$M$2:$M$37,MATCH(T$2,Galerias!$A$2:$A$37,0))),"",ROUND(INDEX(Galerias!$N$2:$N$37,MATCH(T$2,Galerias!$A$2:$A$37,0))*INDEX(Galerias!$O$2:$O$37,MATCH(T$2,Galerias!$A$2:$A$37,0))^($A30-1),0))</f>
        <v/>
      </c>
      <c r="U30" s="43">
        <f>IF(AND(INDEX(Galerias!$M$2:$M$37,MATCH(U$2,Galerias!$A$2:$A$37,0))&lt;&gt;"",$A30&gt;INDEX(Galerias!$M$2:$M$37,MATCH(U$2,Galerias!$A$2:$A$37,0))),"",ROUND(INDEX(Galerias!$N$2:$N$37,MATCH(U$2,Galerias!$A$2:$A$37,0))*INDEX(Galerias!$O$2:$O$37,MATCH(U$2,Galerias!$A$2:$A$37,0))^($A30-1),0))</f>
        <v/>
      </c>
      <c r="V30" s="43">
        <f>IF(AND(INDEX(Galerias!$M$2:$M$37,MATCH(V$2,Galerias!$A$2:$A$37,0))&lt;&gt;"",$A30&gt;INDEX(Galerias!$M$2:$M$37,MATCH(V$2,Galerias!$A$2:$A$37,0))),"",ROUND(INDEX(Galerias!$N$2:$N$37,MATCH(V$2,Galerias!$A$2:$A$37,0))*INDEX(Galerias!$O$2:$O$37,MATCH(V$2,Galerias!$A$2:$A$37,0))^($A30-1),0))</f>
        <v/>
      </c>
      <c r="W30" s="43">
        <f>IF(AND(INDEX(Galerias!$M$2:$M$37,MATCH(W$2,Galerias!$A$2:$A$37,0))&lt;&gt;"",$A30&gt;INDEX(Galerias!$M$2:$M$37,MATCH(W$2,Galerias!$A$2:$A$37,0))),"",ROUND(INDEX(Galerias!$N$2:$N$37,MATCH(W$2,Galerias!$A$2:$A$37,0))*INDEX(Galerias!$O$2:$O$37,MATCH(W$2,Galerias!$A$2:$A$37,0))^($A30-1),0))</f>
        <v/>
      </c>
      <c r="X30" s="43">
        <f>IF(AND(INDEX(Galerias!$M$2:$M$37,MATCH(X$2,Galerias!$A$2:$A$37,0))&lt;&gt;"",$A30&gt;INDEX(Galerias!$M$2:$M$37,MATCH(X$2,Galerias!$A$2:$A$37,0))),"",ROUND(INDEX(Galerias!$N$2:$N$37,MATCH(X$2,Galerias!$A$2:$A$37,0))*INDEX(Galerias!$O$2:$O$37,MATCH(X$2,Galerias!$A$2:$A$37,0))^($A30-1),0))</f>
        <v/>
      </c>
      <c r="Y30" s="43">
        <f>IF(AND(INDEX(Galerias!$M$2:$M$37,MATCH(Y$2,Galerias!$A$2:$A$37,0))&lt;&gt;"",$A30&gt;INDEX(Galerias!$M$2:$M$37,MATCH(Y$2,Galerias!$A$2:$A$37,0))),"",ROUND(INDEX(Galerias!$N$2:$N$37,MATCH(Y$2,Galerias!$A$2:$A$37,0))*INDEX(Galerias!$O$2:$O$37,MATCH(Y$2,Galerias!$A$2:$A$37,0))^($A30-1),0))</f>
        <v/>
      </c>
      <c r="Z30" s="43">
        <f>IF(AND(INDEX(Galerias!$M$2:$M$37,MATCH(Z$2,Galerias!$A$2:$A$37,0))&lt;&gt;"",$A30&gt;INDEX(Galerias!$M$2:$M$37,MATCH(Z$2,Galerias!$A$2:$A$37,0))),"",ROUND(INDEX(Galerias!$N$2:$N$37,MATCH(Z$2,Galerias!$A$2:$A$37,0))*INDEX(Galerias!$O$2:$O$37,MATCH(Z$2,Galerias!$A$2:$A$37,0))^($A30-1),0))</f>
        <v/>
      </c>
      <c r="AA30" s="43">
        <f>IF(AND(INDEX(Galerias!$M$2:$M$37,MATCH(AA$2,Galerias!$A$2:$A$37,0))&lt;&gt;"",$A30&gt;INDEX(Galerias!$M$2:$M$37,MATCH(AA$2,Galerias!$A$2:$A$37,0))),"",ROUND(INDEX(Galerias!$N$2:$N$37,MATCH(AA$2,Galerias!$A$2:$A$37,0))*INDEX(Galerias!$O$2:$O$37,MATCH(AA$2,Galerias!$A$2:$A$37,0))^($A30-1),0))</f>
        <v/>
      </c>
      <c r="AB30" s="43">
        <f>IF(AND(INDEX(Galerias!$M$2:$M$37,MATCH(AB$2,Galerias!$A$2:$A$37,0))&lt;&gt;"",$A30&gt;INDEX(Galerias!$M$2:$M$37,MATCH(AB$2,Galerias!$A$2:$A$37,0))),"",ROUND(INDEX(Galerias!$N$2:$N$37,MATCH(AB$2,Galerias!$A$2:$A$37,0))*INDEX(Galerias!$O$2:$O$37,MATCH(AB$2,Galerias!$A$2:$A$37,0))^($A30-1),0))</f>
        <v/>
      </c>
      <c r="AC30" s="43">
        <f>IF(AND(INDEX(Galerias!$M$2:$M$37,MATCH(AC$2,Galerias!$A$2:$A$37,0))&lt;&gt;"",$A30&gt;INDEX(Galerias!$M$2:$M$37,MATCH(AC$2,Galerias!$A$2:$A$37,0))),"",ROUND(INDEX(Galerias!$N$2:$N$37,MATCH(AC$2,Galerias!$A$2:$A$37,0))*INDEX(Galerias!$O$2:$O$37,MATCH(AC$2,Galerias!$A$2:$A$37,0))^($A30-1),0))</f>
        <v/>
      </c>
      <c r="AD30" s="43">
        <f>IF(AND(INDEX(Galerias!$M$2:$M$37,MATCH(AD$2,Galerias!$A$2:$A$37,0))&lt;&gt;"",$A30&gt;INDEX(Galerias!$M$2:$M$37,MATCH(AD$2,Galerias!$A$2:$A$37,0))),"",ROUND(INDEX(Galerias!$N$2:$N$37,MATCH(AD$2,Galerias!$A$2:$A$37,0))*INDEX(Galerias!$O$2:$O$37,MATCH(AD$2,Galerias!$A$2:$A$37,0))^($A30-1),0))</f>
        <v/>
      </c>
      <c r="AE30" s="43">
        <f>IF(AND(INDEX(Galerias!$M$2:$M$37,MATCH(AE$2,Galerias!$A$2:$A$37,0))&lt;&gt;"",$A30&gt;INDEX(Galerias!$M$2:$M$37,MATCH(AE$2,Galerias!$A$2:$A$37,0))),"",ROUND(INDEX(Galerias!$N$2:$N$37,MATCH(AE$2,Galerias!$A$2:$A$37,0))*INDEX(Galerias!$O$2:$O$37,MATCH(AE$2,Galerias!$A$2:$A$37,0))^($A30-1),0))</f>
        <v/>
      </c>
      <c r="AF30" s="43">
        <f>IF(AND(INDEX(Galerias!$M$2:$M$37,MATCH(AF$2,Galerias!$A$2:$A$37,0))&lt;&gt;"",$A30&gt;INDEX(Galerias!$M$2:$M$37,MATCH(AF$2,Galerias!$A$2:$A$37,0))),"",ROUND(INDEX(Galerias!$N$2:$N$37,MATCH(AF$2,Galerias!$A$2:$A$37,0))*INDEX(Galerias!$O$2:$O$37,MATCH(AF$2,Galerias!$A$2:$A$37,0))^($A30-1),0))</f>
        <v/>
      </c>
      <c r="AG30" s="43">
        <f>IF(AND(INDEX(Galerias!$M$2:$M$37,MATCH(AG$2,Galerias!$A$2:$A$37,0))&lt;&gt;"",$A30&gt;INDEX(Galerias!$M$2:$M$37,MATCH(AG$2,Galerias!$A$2:$A$37,0))),"",ROUND(INDEX(Galerias!$N$2:$N$37,MATCH(AG$2,Galerias!$A$2:$A$37,0))*INDEX(Galerias!$O$2:$O$37,MATCH(AG$2,Galerias!$A$2:$A$37,0))^($A30-1),0))</f>
        <v/>
      </c>
      <c r="AH30" s="43">
        <f>IF(AND(INDEX(Galerias!$M$2:$M$37,MATCH(AH$2,Galerias!$A$2:$A$37,0))&lt;&gt;"",$A30&gt;INDEX(Galerias!$M$2:$M$37,MATCH(AH$2,Galerias!$A$2:$A$37,0))),"",ROUND(INDEX(Galerias!$N$2:$N$37,MATCH(AH$2,Galerias!$A$2:$A$37,0))*INDEX(Galerias!$O$2:$O$37,MATCH(AH$2,Galerias!$A$2:$A$37,0))^($A30-1),0))</f>
        <v/>
      </c>
      <c r="AI30" s="43">
        <f>IF(AND(INDEX(Galerias!$M$2:$M$37,MATCH(AI$2,Galerias!$A$2:$A$37,0))&lt;&gt;"",$A30&gt;INDEX(Galerias!$M$2:$M$37,MATCH(AI$2,Galerias!$A$2:$A$37,0))),"",ROUND(INDEX(Galerias!$N$2:$N$37,MATCH(AI$2,Galerias!$A$2:$A$37,0))*INDEX(Galerias!$O$2:$O$37,MATCH(AI$2,Galerias!$A$2:$A$37,0))^($A30-1),0))</f>
        <v/>
      </c>
      <c r="AJ30" s="43">
        <f>IF(AND(INDEX(Galerias!$M$2:$M$37,MATCH(AJ$2,Galerias!$A$2:$A$37,0))&lt;&gt;"",$A30&gt;INDEX(Galerias!$M$2:$M$37,MATCH(AJ$2,Galerias!$A$2:$A$37,0))),"",ROUND(INDEX(Galerias!$N$2:$N$37,MATCH(AJ$2,Galerias!$A$2:$A$37,0))*INDEX(Galerias!$O$2:$O$37,MATCH(AJ$2,Galerias!$A$2:$A$37,0))^($A30-1),0))</f>
        <v/>
      </c>
      <c r="AK30" s="43">
        <f>IF(AND(INDEX(Galerias!$M$2:$M$37,MATCH(AK$2,Galerias!$A$2:$A$37,0))&lt;&gt;"",$A30&gt;INDEX(Galerias!$M$2:$M$37,MATCH(AK$2,Galerias!$A$2:$A$37,0))),"",ROUND(INDEX(Galerias!$N$2:$N$37,MATCH(AK$2,Galerias!$A$2:$A$37,0))*INDEX(Galerias!$O$2:$O$37,MATCH(AK$2,Galerias!$A$2:$A$37,0))^($A30-1),0))</f>
        <v/>
      </c>
    </row>
    <row r="31" ht="15" customHeight="1" s="23">
      <c r="A31" s="25" t="n">
        <v>29</v>
      </c>
      <c r="B31" s="43">
        <f>IF(AND(INDEX(Galerias!$M$2:$M$37,MATCH(B$2,Galerias!$A$2:$A$37,0))&lt;&gt;"",$A31&gt;INDEX(Galerias!$M$2:$M$37,MATCH(B$2,Galerias!$A$2:$A$37,0))),"",ROUND(INDEX(Galerias!$N$2:$N$37,MATCH(B$2,Galerias!$A$2:$A$37,0))*INDEX(Galerias!$O$2:$O$37,MATCH(B$2,Galerias!$A$2:$A$37,0))^($A31-1),0))</f>
        <v/>
      </c>
      <c r="C31" s="43">
        <f>IF(AND(INDEX(Galerias!$M$2:$M$37,MATCH(C$2,Galerias!$A$2:$A$37,0))&lt;&gt;"",$A31&gt;INDEX(Galerias!$M$2:$M$37,MATCH(C$2,Galerias!$A$2:$A$37,0))),"",ROUND(INDEX(Galerias!$N$2:$N$37,MATCH(C$2,Galerias!$A$2:$A$37,0))*INDEX(Galerias!$O$2:$O$37,MATCH(C$2,Galerias!$A$2:$A$37,0))^($A31-1),0))</f>
        <v/>
      </c>
      <c r="D31" s="43">
        <f>IF(AND(INDEX(Galerias!$M$2:$M$37,MATCH(D$2,Galerias!$A$2:$A$37,0))&lt;&gt;"",$A31&gt;INDEX(Galerias!$M$2:$M$37,MATCH(D$2,Galerias!$A$2:$A$37,0))),"",ROUND(INDEX(Galerias!$N$2:$N$37,MATCH(D$2,Galerias!$A$2:$A$37,0))*INDEX(Galerias!$O$2:$O$37,MATCH(D$2,Galerias!$A$2:$A$37,0))^($A31-1),0))</f>
        <v/>
      </c>
      <c r="E31" s="43">
        <f>IF(AND(INDEX(Galerias!$M$2:$M$37,MATCH(E$2,Galerias!$A$2:$A$37,0))&lt;&gt;"",$A31&gt;INDEX(Galerias!$M$2:$M$37,MATCH(E$2,Galerias!$A$2:$A$37,0))),"",ROUND(INDEX(Galerias!$N$2:$N$37,MATCH(E$2,Galerias!$A$2:$A$37,0))*INDEX(Galerias!$O$2:$O$37,MATCH(E$2,Galerias!$A$2:$A$37,0))^($A31-1),0))</f>
        <v/>
      </c>
      <c r="F31" s="43">
        <f>IF(AND(INDEX(Galerias!$M$2:$M$37,MATCH(F$2,Galerias!$A$2:$A$37,0))&lt;&gt;"",$A31&gt;INDEX(Galerias!$M$2:$M$37,MATCH(F$2,Galerias!$A$2:$A$37,0))),"",ROUND(INDEX(Galerias!$N$2:$N$37,MATCH(F$2,Galerias!$A$2:$A$37,0))*INDEX(Galerias!$O$2:$O$37,MATCH(F$2,Galerias!$A$2:$A$37,0))^($A31-1),0))</f>
        <v/>
      </c>
      <c r="G31" s="43">
        <f>IF(AND(INDEX(Galerias!$M$2:$M$37,MATCH(G$2,Galerias!$A$2:$A$37,0))&lt;&gt;"",$A31&gt;INDEX(Galerias!$M$2:$M$37,MATCH(G$2,Galerias!$A$2:$A$37,0))),"",ROUND(INDEX(Galerias!$N$2:$N$37,MATCH(G$2,Galerias!$A$2:$A$37,0))*INDEX(Galerias!$O$2:$O$37,MATCH(G$2,Galerias!$A$2:$A$37,0))^($A31-1),0))</f>
        <v/>
      </c>
      <c r="H31" s="43">
        <f>IF(AND(INDEX(Galerias!$M$2:$M$37,MATCH(H$2,Galerias!$A$2:$A$37,0))&lt;&gt;"",$A31&gt;INDEX(Galerias!$M$2:$M$37,MATCH(H$2,Galerias!$A$2:$A$37,0))),"",ROUND(INDEX(Galerias!$N$2:$N$37,MATCH(H$2,Galerias!$A$2:$A$37,0))*INDEX(Galerias!$O$2:$O$37,MATCH(H$2,Galerias!$A$2:$A$37,0))^($A31-1),0))</f>
        <v/>
      </c>
      <c r="I31" s="43">
        <f>IF(AND(INDEX(Galerias!$M$2:$M$37,MATCH(I$2,Galerias!$A$2:$A$37,0))&lt;&gt;"",$A31&gt;INDEX(Galerias!$M$2:$M$37,MATCH(I$2,Galerias!$A$2:$A$37,0))),"",ROUND(INDEX(Galerias!$N$2:$N$37,MATCH(I$2,Galerias!$A$2:$A$37,0))*INDEX(Galerias!$O$2:$O$37,MATCH(I$2,Galerias!$A$2:$A$37,0))^($A31-1),0))</f>
        <v/>
      </c>
      <c r="J31" s="43">
        <f>IF(AND(INDEX(Galerias!$M$2:$M$37,MATCH(J$2,Galerias!$A$2:$A$37,0))&lt;&gt;"",$A31&gt;INDEX(Galerias!$M$2:$M$37,MATCH(J$2,Galerias!$A$2:$A$37,0))),"",ROUND(INDEX(Galerias!$N$2:$N$37,MATCH(J$2,Galerias!$A$2:$A$37,0))*INDEX(Galerias!$O$2:$O$37,MATCH(J$2,Galerias!$A$2:$A$37,0))^($A31-1),0))</f>
        <v/>
      </c>
      <c r="K31" s="43">
        <f>IF(AND(INDEX(Galerias!$M$2:$M$37,MATCH(K$2,Galerias!$A$2:$A$37,0))&lt;&gt;"",$A31&gt;INDEX(Galerias!$M$2:$M$37,MATCH(K$2,Galerias!$A$2:$A$37,0))),"",ROUND(INDEX(Galerias!$N$2:$N$37,MATCH(K$2,Galerias!$A$2:$A$37,0))*INDEX(Galerias!$O$2:$O$37,MATCH(K$2,Galerias!$A$2:$A$37,0))^($A31-1),0))</f>
        <v/>
      </c>
      <c r="L31" s="43">
        <f>IF(AND(INDEX(Galerias!$M$2:$M$37,MATCH(L$2,Galerias!$A$2:$A$37,0))&lt;&gt;"",$A31&gt;INDEX(Galerias!$M$2:$M$37,MATCH(L$2,Galerias!$A$2:$A$37,0))),"",ROUND(INDEX(Galerias!$N$2:$N$37,MATCH(L$2,Galerias!$A$2:$A$37,0))*INDEX(Galerias!$O$2:$O$37,MATCH(L$2,Galerias!$A$2:$A$37,0))^($A31-1),0))</f>
        <v/>
      </c>
      <c r="M31" s="43">
        <f>IF(AND(INDEX(Galerias!$M$2:$M$37,MATCH(M$2,Galerias!$A$2:$A$37,0))&lt;&gt;"",$A31&gt;INDEX(Galerias!$M$2:$M$37,MATCH(M$2,Galerias!$A$2:$A$37,0))),"",ROUND(INDEX(Galerias!$N$2:$N$37,MATCH(M$2,Galerias!$A$2:$A$37,0))*INDEX(Galerias!$O$2:$O$37,MATCH(M$2,Galerias!$A$2:$A$37,0))^($A31-1),0))</f>
        <v/>
      </c>
      <c r="N31" s="43">
        <f>IF(AND(INDEX(Galerias!$M$2:$M$37,MATCH(N$2,Galerias!$A$2:$A$37,0))&lt;&gt;"",$A31&gt;INDEX(Galerias!$M$2:$M$37,MATCH(N$2,Galerias!$A$2:$A$37,0))),"",ROUND(INDEX(Galerias!$N$2:$N$37,MATCH(N$2,Galerias!$A$2:$A$37,0))*INDEX(Galerias!$O$2:$O$37,MATCH(N$2,Galerias!$A$2:$A$37,0))^($A31-1),0))</f>
        <v/>
      </c>
      <c r="O31" s="43">
        <f>IF(AND(INDEX(Galerias!$M$2:$M$37,MATCH(O$2,Galerias!$A$2:$A$37,0))&lt;&gt;"",$A31&gt;INDEX(Galerias!$M$2:$M$37,MATCH(O$2,Galerias!$A$2:$A$37,0))),"",ROUND(INDEX(Galerias!$N$2:$N$37,MATCH(O$2,Galerias!$A$2:$A$37,0))*INDEX(Galerias!$O$2:$O$37,MATCH(O$2,Galerias!$A$2:$A$37,0))^($A31-1),0))</f>
        <v/>
      </c>
      <c r="P31" s="43">
        <f>IF(AND(INDEX(Galerias!$M$2:$M$37,MATCH(P$2,Galerias!$A$2:$A$37,0))&lt;&gt;"",$A31&gt;INDEX(Galerias!$M$2:$M$37,MATCH(P$2,Galerias!$A$2:$A$37,0))),"",ROUND(INDEX(Galerias!$N$2:$N$37,MATCH(P$2,Galerias!$A$2:$A$37,0))*INDEX(Galerias!$O$2:$O$37,MATCH(P$2,Galerias!$A$2:$A$37,0))^($A31-1),0))</f>
        <v/>
      </c>
      <c r="Q31" s="43">
        <f>IF(AND(INDEX(Galerias!$M$2:$M$37,MATCH(Q$2,Galerias!$A$2:$A$37,0))&lt;&gt;"",$A31&gt;INDEX(Galerias!$M$2:$M$37,MATCH(Q$2,Galerias!$A$2:$A$37,0))),"",ROUND(INDEX(Galerias!$N$2:$N$37,MATCH(Q$2,Galerias!$A$2:$A$37,0))*INDEX(Galerias!$O$2:$O$37,MATCH(Q$2,Galerias!$A$2:$A$37,0))^($A31-1),0))</f>
        <v/>
      </c>
      <c r="R31" s="43">
        <f>IF(AND(INDEX(Galerias!$M$2:$M$37,MATCH(R$2,Galerias!$A$2:$A$37,0))&lt;&gt;"",$A31&gt;INDEX(Galerias!$M$2:$M$37,MATCH(R$2,Galerias!$A$2:$A$37,0))),"",ROUND(INDEX(Galerias!$N$2:$N$37,MATCH(R$2,Galerias!$A$2:$A$37,0))*INDEX(Galerias!$O$2:$O$37,MATCH(R$2,Galerias!$A$2:$A$37,0))^($A31-1),0))</f>
        <v/>
      </c>
      <c r="S31" s="43">
        <f>IF(AND(INDEX(Galerias!$M$2:$M$37,MATCH(S$2,Galerias!$A$2:$A$37,0))&lt;&gt;"",$A31&gt;INDEX(Galerias!$M$2:$M$37,MATCH(S$2,Galerias!$A$2:$A$37,0))),"",ROUND(INDEX(Galerias!$N$2:$N$37,MATCH(S$2,Galerias!$A$2:$A$37,0))*INDEX(Galerias!$O$2:$O$37,MATCH(S$2,Galerias!$A$2:$A$37,0))^($A31-1),0))</f>
        <v/>
      </c>
      <c r="T31" s="43">
        <f>IF(AND(INDEX(Galerias!$M$2:$M$37,MATCH(T$2,Galerias!$A$2:$A$37,0))&lt;&gt;"",$A31&gt;INDEX(Galerias!$M$2:$M$37,MATCH(T$2,Galerias!$A$2:$A$37,0))),"",ROUND(INDEX(Galerias!$N$2:$N$37,MATCH(T$2,Galerias!$A$2:$A$37,0))*INDEX(Galerias!$O$2:$O$37,MATCH(T$2,Galerias!$A$2:$A$37,0))^($A31-1),0))</f>
        <v/>
      </c>
      <c r="U31" s="43">
        <f>IF(AND(INDEX(Galerias!$M$2:$M$37,MATCH(U$2,Galerias!$A$2:$A$37,0))&lt;&gt;"",$A31&gt;INDEX(Galerias!$M$2:$M$37,MATCH(U$2,Galerias!$A$2:$A$37,0))),"",ROUND(INDEX(Galerias!$N$2:$N$37,MATCH(U$2,Galerias!$A$2:$A$37,0))*INDEX(Galerias!$O$2:$O$37,MATCH(U$2,Galerias!$A$2:$A$37,0))^($A31-1),0))</f>
        <v/>
      </c>
      <c r="V31" s="43">
        <f>IF(AND(INDEX(Galerias!$M$2:$M$37,MATCH(V$2,Galerias!$A$2:$A$37,0))&lt;&gt;"",$A31&gt;INDEX(Galerias!$M$2:$M$37,MATCH(V$2,Galerias!$A$2:$A$37,0))),"",ROUND(INDEX(Galerias!$N$2:$N$37,MATCH(V$2,Galerias!$A$2:$A$37,0))*INDEX(Galerias!$O$2:$O$37,MATCH(V$2,Galerias!$A$2:$A$37,0))^($A31-1),0))</f>
        <v/>
      </c>
      <c r="W31" s="43">
        <f>IF(AND(INDEX(Galerias!$M$2:$M$37,MATCH(W$2,Galerias!$A$2:$A$37,0))&lt;&gt;"",$A31&gt;INDEX(Galerias!$M$2:$M$37,MATCH(W$2,Galerias!$A$2:$A$37,0))),"",ROUND(INDEX(Galerias!$N$2:$N$37,MATCH(W$2,Galerias!$A$2:$A$37,0))*INDEX(Galerias!$O$2:$O$37,MATCH(W$2,Galerias!$A$2:$A$37,0))^($A31-1),0))</f>
        <v/>
      </c>
      <c r="X31" s="43">
        <f>IF(AND(INDEX(Galerias!$M$2:$M$37,MATCH(X$2,Galerias!$A$2:$A$37,0))&lt;&gt;"",$A31&gt;INDEX(Galerias!$M$2:$M$37,MATCH(X$2,Galerias!$A$2:$A$37,0))),"",ROUND(INDEX(Galerias!$N$2:$N$37,MATCH(X$2,Galerias!$A$2:$A$37,0))*INDEX(Galerias!$O$2:$O$37,MATCH(X$2,Galerias!$A$2:$A$37,0))^($A31-1),0))</f>
        <v/>
      </c>
      <c r="Y31" s="43">
        <f>IF(AND(INDEX(Galerias!$M$2:$M$37,MATCH(Y$2,Galerias!$A$2:$A$37,0))&lt;&gt;"",$A31&gt;INDEX(Galerias!$M$2:$M$37,MATCH(Y$2,Galerias!$A$2:$A$37,0))),"",ROUND(INDEX(Galerias!$N$2:$N$37,MATCH(Y$2,Galerias!$A$2:$A$37,0))*INDEX(Galerias!$O$2:$O$37,MATCH(Y$2,Galerias!$A$2:$A$37,0))^($A31-1),0))</f>
        <v/>
      </c>
      <c r="Z31" s="43">
        <f>IF(AND(INDEX(Galerias!$M$2:$M$37,MATCH(Z$2,Galerias!$A$2:$A$37,0))&lt;&gt;"",$A31&gt;INDEX(Galerias!$M$2:$M$37,MATCH(Z$2,Galerias!$A$2:$A$37,0))),"",ROUND(INDEX(Galerias!$N$2:$N$37,MATCH(Z$2,Galerias!$A$2:$A$37,0))*INDEX(Galerias!$O$2:$O$37,MATCH(Z$2,Galerias!$A$2:$A$37,0))^($A31-1),0))</f>
        <v/>
      </c>
      <c r="AA31" s="43">
        <f>IF(AND(INDEX(Galerias!$M$2:$M$37,MATCH(AA$2,Galerias!$A$2:$A$37,0))&lt;&gt;"",$A31&gt;INDEX(Galerias!$M$2:$M$37,MATCH(AA$2,Galerias!$A$2:$A$37,0))),"",ROUND(INDEX(Galerias!$N$2:$N$37,MATCH(AA$2,Galerias!$A$2:$A$37,0))*INDEX(Galerias!$O$2:$O$37,MATCH(AA$2,Galerias!$A$2:$A$37,0))^($A31-1),0))</f>
        <v/>
      </c>
      <c r="AB31" s="43">
        <f>IF(AND(INDEX(Galerias!$M$2:$M$37,MATCH(AB$2,Galerias!$A$2:$A$37,0))&lt;&gt;"",$A31&gt;INDEX(Galerias!$M$2:$M$37,MATCH(AB$2,Galerias!$A$2:$A$37,0))),"",ROUND(INDEX(Galerias!$N$2:$N$37,MATCH(AB$2,Galerias!$A$2:$A$37,0))*INDEX(Galerias!$O$2:$O$37,MATCH(AB$2,Galerias!$A$2:$A$37,0))^($A31-1),0))</f>
        <v/>
      </c>
      <c r="AC31" s="43">
        <f>IF(AND(INDEX(Galerias!$M$2:$M$37,MATCH(AC$2,Galerias!$A$2:$A$37,0))&lt;&gt;"",$A31&gt;INDEX(Galerias!$M$2:$M$37,MATCH(AC$2,Galerias!$A$2:$A$37,0))),"",ROUND(INDEX(Galerias!$N$2:$N$37,MATCH(AC$2,Galerias!$A$2:$A$37,0))*INDEX(Galerias!$O$2:$O$37,MATCH(AC$2,Galerias!$A$2:$A$37,0))^($A31-1),0))</f>
        <v/>
      </c>
      <c r="AD31" s="43">
        <f>IF(AND(INDEX(Galerias!$M$2:$M$37,MATCH(AD$2,Galerias!$A$2:$A$37,0))&lt;&gt;"",$A31&gt;INDEX(Galerias!$M$2:$M$37,MATCH(AD$2,Galerias!$A$2:$A$37,0))),"",ROUND(INDEX(Galerias!$N$2:$N$37,MATCH(AD$2,Galerias!$A$2:$A$37,0))*INDEX(Galerias!$O$2:$O$37,MATCH(AD$2,Galerias!$A$2:$A$37,0))^($A31-1),0))</f>
        <v/>
      </c>
      <c r="AE31" s="43">
        <f>IF(AND(INDEX(Galerias!$M$2:$M$37,MATCH(AE$2,Galerias!$A$2:$A$37,0))&lt;&gt;"",$A31&gt;INDEX(Galerias!$M$2:$M$37,MATCH(AE$2,Galerias!$A$2:$A$37,0))),"",ROUND(INDEX(Galerias!$N$2:$N$37,MATCH(AE$2,Galerias!$A$2:$A$37,0))*INDEX(Galerias!$O$2:$O$37,MATCH(AE$2,Galerias!$A$2:$A$37,0))^($A31-1),0))</f>
        <v/>
      </c>
      <c r="AF31" s="43">
        <f>IF(AND(INDEX(Galerias!$M$2:$M$37,MATCH(AF$2,Galerias!$A$2:$A$37,0))&lt;&gt;"",$A31&gt;INDEX(Galerias!$M$2:$M$37,MATCH(AF$2,Galerias!$A$2:$A$37,0))),"",ROUND(INDEX(Galerias!$N$2:$N$37,MATCH(AF$2,Galerias!$A$2:$A$37,0))*INDEX(Galerias!$O$2:$O$37,MATCH(AF$2,Galerias!$A$2:$A$37,0))^($A31-1),0))</f>
        <v/>
      </c>
      <c r="AG31" s="43">
        <f>IF(AND(INDEX(Galerias!$M$2:$M$37,MATCH(AG$2,Galerias!$A$2:$A$37,0))&lt;&gt;"",$A31&gt;INDEX(Galerias!$M$2:$M$37,MATCH(AG$2,Galerias!$A$2:$A$37,0))),"",ROUND(INDEX(Galerias!$N$2:$N$37,MATCH(AG$2,Galerias!$A$2:$A$37,0))*INDEX(Galerias!$O$2:$O$37,MATCH(AG$2,Galerias!$A$2:$A$37,0))^($A31-1),0))</f>
        <v/>
      </c>
      <c r="AH31" s="43">
        <f>IF(AND(INDEX(Galerias!$M$2:$M$37,MATCH(AH$2,Galerias!$A$2:$A$37,0))&lt;&gt;"",$A31&gt;INDEX(Galerias!$M$2:$M$37,MATCH(AH$2,Galerias!$A$2:$A$37,0))),"",ROUND(INDEX(Galerias!$N$2:$N$37,MATCH(AH$2,Galerias!$A$2:$A$37,0))*INDEX(Galerias!$O$2:$O$37,MATCH(AH$2,Galerias!$A$2:$A$37,0))^($A31-1),0))</f>
        <v/>
      </c>
      <c r="AI31" s="43">
        <f>IF(AND(INDEX(Galerias!$M$2:$M$37,MATCH(AI$2,Galerias!$A$2:$A$37,0))&lt;&gt;"",$A31&gt;INDEX(Galerias!$M$2:$M$37,MATCH(AI$2,Galerias!$A$2:$A$37,0))),"",ROUND(INDEX(Galerias!$N$2:$N$37,MATCH(AI$2,Galerias!$A$2:$A$37,0))*INDEX(Galerias!$O$2:$O$37,MATCH(AI$2,Galerias!$A$2:$A$37,0))^($A31-1),0))</f>
        <v/>
      </c>
      <c r="AJ31" s="43">
        <f>IF(AND(INDEX(Galerias!$M$2:$M$37,MATCH(AJ$2,Galerias!$A$2:$A$37,0))&lt;&gt;"",$A31&gt;INDEX(Galerias!$M$2:$M$37,MATCH(AJ$2,Galerias!$A$2:$A$37,0))),"",ROUND(INDEX(Galerias!$N$2:$N$37,MATCH(AJ$2,Galerias!$A$2:$A$37,0))*INDEX(Galerias!$O$2:$O$37,MATCH(AJ$2,Galerias!$A$2:$A$37,0))^($A31-1),0))</f>
        <v/>
      </c>
      <c r="AK31" s="43">
        <f>IF(AND(INDEX(Galerias!$M$2:$M$37,MATCH(AK$2,Galerias!$A$2:$A$37,0))&lt;&gt;"",$A31&gt;INDEX(Galerias!$M$2:$M$37,MATCH(AK$2,Galerias!$A$2:$A$37,0))),"",ROUND(INDEX(Galerias!$N$2:$N$37,MATCH(AK$2,Galerias!$A$2:$A$37,0))*INDEX(Galerias!$O$2:$O$37,MATCH(AK$2,Galerias!$A$2:$A$37,0))^($A31-1),0))</f>
        <v/>
      </c>
    </row>
    <row r="32" ht="15" customHeight="1" s="23">
      <c r="A32" s="25" t="n">
        <v>30</v>
      </c>
      <c r="B32" s="43">
        <f>IF(AND(INDEX(Galerias!$M$2:$M$37,MATCH(B$2,Galerias!$A$2:$A$37,0))&lt;&gt;"",$A32&gt;INDEX(Galerias!$M$2:$M$37,MATCH(B$2,Galerias!$A$2:$A$37,0))),"",ROUND(INDEX(Galerias!$N$2:$N$37,MATCH(B$2,Galerias!$A$2:$A$37,0))*INDEX(Galerias!$O$2:$O$37,MATCH(B$2,Galerias!$A$2:$A$37,0))^($A32-1),0))</f>
        <v/>
      </c>
      <c r="C32" s="43">
        <f>IF(AND(INDEX(Galerias!$M$2:$M$37,MATCH(C$2,Galerias!$A$2:$A$37,0))&lt;&gt;"",$A32&gt;INDEX(Galerias!$M$2:$M$37,MATCH(C$2,Galerias!$A$2:$A$37,0))),"",ROUND(INDEX(Galerias!$N$2:$N$37,MATCH(C$2,Galerias!$A$2:$A$37,0))*INDEX(Galerias!$O$2:$O$37,MATCH(C$2,Galerias!$A$2:$A$37,0))^($A32-1),0))</f>
        <v/>
      </c>
      <c r="D32" s="43">
        <f>IF(AND(INDEX(Galerias!$M$2:$M$37,MATCH(D$2,Galerias!$A$2:$A$37,0))&lt;&gt;"",$A32&gt;INDEX(Galerias!$M$2:$M$37,MATCH(D$2,Galerias!$A$2:$A$37,0))),"",ROUND(INDEX(Galerias!$N$2:$N$37,MATCH(D$2,Galerias!$A$2:$A$37,0))*INDEX(Galerias!$O$2:$O$37,MATCH(D$2,Galerias!$A$2:$A$37,0))^($A32-1),0))</f>
        <v/>
      </c>
      <c r="E32" s="43">
        <f>IF(AND(INDEX(Galerias!$M$2:$M$37,MATCH(E$2,Galerias!$A$2:$A$37,0))&lt;&gt;"",$A32&gt;INDEX(Galerias!$M$2:$M$37,MATCH(E$2,Galerias!$A$2:$A$37,0))),"",ROUND(INDEX(Galerias!$N$2:$N$37,MATCH(E$2,Galerias!$A$2:$A$37,0))*INDEX(Galerias!$O$2:$O$37,MATCH(E$2,Galerias!$A$2:$A$37,0))^($A32-1),0))</f>
        <v/>
      </c>
      <c r="F32" s="43">
        <f>IF(AND(INDEX(Galerias!$M$2:$M$37,MATCH(F$2,Galerias!$A$2:$A$37,0))&lt;&gt;"",$A32&gt;INDEX(Galerias!$M$2:$M$37,MATCH(F$2,Galerias!$A$2:$A$37,0))),"",ROUND(INDEX(Galerias!$N$2:$N$37,MATCH(F$2,Galerias!$A$2:$A$37,0))*INDEX(Galerias!$O$2:$O$37,MATCH(F$2,Galerias!$A$2:$A$37,0))^($A32-1),0))</f>
        <v/>
      </c>
      <c r="G32" s="43">
        <f>IF(AND(INDEX(Galerias!$M$2:$M$37,MATCH(G$2,Galerias!$A$2:$A$37,0))&lt;&gt;"",$A32&gt;INDEX(Galerias!$M$2:$M$37,MATCH(G$2,Galerias!$A$2:$A$37,0))),"",ROUND(INDEX(Galerias!$N$2:$N$37,MATCH(G$2,Galerias!$A$2:$A$37,0))*INDEX(Galerias!$O$2:$O$37,MATCH(G$2,Galerias!$A$2:$A$37,0))^($A32-1),0))</f>
        <v/>
      </c>
      <c r="H32" s="43">
        <f>IF(AND(INDEX(Galerias!$M$2:$M$37,MATCH(H$2,Galerias!$A$2:$A$37,0))&lt;&gt;"",$A32&gt;INDEX(Galerias!$M$2:$M$37,MATCH(H$2,Galerias!$A$2:$A$37,0))),"",ROUND(INDEX(Galerias!$N$2:$N$37,MATCH(H$2,Galerias!$A$2:$A$37,0))*INDEX(Galerias!$O$2:$O$37,MATCH(H$2,Galerias!$A$2:$A$37,0))^($A32-1),0))</f>
        <v/>
      </c>
      <c r="I32" s="43">
        <f>IF(AND(INDEX(Galerias!$M$2:$M$37,MATCH(I$2,Galerias!$A$2:$A$37,0))&lt;&gt;"",$A32&gt;INDEX(Galerias!$M$2:$M$37,MATCH(I$2,Galerias!$A$2:$A$37,0))),"",ROUND(INDEX(Galerias!$N$2:$N$37,MATCH(I$2,Galerias!$A$2:$A$37,0))*INDEX(Galerias!$O$2:$O$37,MATCH(I$2,Galerias!$A$2:$A$37,0))^($A32-1),0))</f>
        <v/>
      </c>
      <c r="J32" s="43">
        <f>IF(AND(INDEX(Galerias!$M$2:$M$37,MATCH(J$2,Galerias!$A$2:$A$37,0))&lt;&gt;"",$A32&gt;INDEX(Galerias!$M$2:$M$37,MATCH(J$2,Galerias!$A$2:$A$37,0))),"",ROUND(INDEX(Galerias!$N$2:$N$37,MATCH(J$2,Galerias!$A$2:$A$37,0))*INDEX(Galerias!$O$2:$O$37,MATCH(J$2,Galerias!$A$2:$A$37,0))^($A32-1),0))</f>
        <v/>
      </c>
      <c r="K32" s="43">
        <f>IF(AND(INDEX(Galerias!$M$2:$M$37,MATCH(K$2,Galerias!$A$2:$A$37,0))&lt;&gt;"",$A32&gt;INDEX(Galerias!$M$2:$M$37,MATCH(K$2,Galerias!$A$2:$A$37,0))),"",ROUND(INDEX(Galerias!$N$2:$N$37,MATCH(K$2,Galerias!$A$2:$A$37,0))*INDEX(Galerias!$O$2:$O$37,MATCH(K$2,Galerias!$A$2:$A$37,0))^($A32-1),0))</f>
        <v/>
      </c>
      <c r="L32" s="43">
        <f>IF(AND(INDEX(Galerias!$M$2:$M$37,MATCH(L$2,Galerias!$A$2:$A$37,0))&lt;&gt;"",$A32&gt;INDEX(Galerias!$M$2:$M$37,MATCH(L$2,Galerias!$A$2:$A$37,0))),"",ROUND(INDEX(Galerias!$N$2:$N$37,MATCH(L$2,Galerias!$A$2:$A$37,0))*INDEX(Galerias!$O$2:$O$37,MATCH(L$2,Galerias!$A$2:$A$37,0))^($A32-1),0))</f>
        <v/>
      </c>
      <c r="M32" s="43">
        <f>IF(AND(INDEX(Galerias!$M$2:$M$37,MATCH(M$2,Galerias!$A$2:$A$37,0))&lt;&gt;"",$A32&gt;INDEX(Galerias!$M$2:$M$37,MATCH(M$2,Galerias!$A$2:$A$37,0))),"",ROUND(INDEX(Galerias!$N$2:$N$37,MATCH(M$2,Galerias!$A$2:$A$37,0))*INDEX(Galerias!$O$2:$O$37,MATCH(M$2,Galerias!$A$2:$A$37,0))^($A32-1),0))</f>
        <v/>
      </c>
      <c r="N32" s="43">
        <f>IF(AND(INDEX(Galerias!$M$2:$M$37,MATCH(N$2,Galerias!$A$2:$A$37,0))&lt;&gt;"",$A32&gt;INDEX(Galerias!$M$2:$M$37,MATCH(N$2,Galerias!$A$2:$A$37,0))),"",ROUND(INDEX(Galerias!$N$2:$N$37,MATCH(N$2,Galerias!$A$2:$A$37,0))*INDEX(Galerias!$O$2:$O$37,MATCH(N$2,Galerias!$A$2:$A$37,0))^($A32-1),0))</f>
        <v/>
      </c>
      <c r="O32" s="43">
        <f>IF(AND(INDEX(Galerias!$M$2:$M$37,MATCH(O$2,Galerias!$A$2:$A$37,0))&lt;&gt;"",$A32&gt;INDEX(Galerias!$M$2:$M$37,MATCH(O$2,Galerias!$A$2:$A$37,0))),"",ROUND(INDEX(Galerias!$N$2:$N$37,MATCH(O$2,Galerias!$A$2:$A$37,0))*INDEX(Galerias!$O$2:$O$37,MATCH(O$2,Galerias!$A$2:$A$37,0))^($A32-1),0))</f>
        <v/>
      </c>
      <c r="P32" s="43">
        <f>IF(AND(INDEX(Galerias!$M$2:$M$37,MATCH(P$2,Galerias!$A$2:$A$37,0))&lt;&gt;"",$A32&gt;INDEX(Galerias!$M$2:$M$37,MATCH(P$2,Galerias!$A$2:$A$37,0))),"",ROUND(INDEX(Galerias!$N$2:$N$37,MATCH(P$2,Galerias!$A$2:$A$37,0))*INDEX(Galerias!$O$2:$O$37,MATCH(P$2,Galerias!$A$2:$A$37,0))^($A32-1),0))</f>
        <v/>
      </c>
      <c r="Q32" s="43">
        <f>IF(AND(INDEX(Galerias!$M$2:$M$37,MATCH(Q$2,Galerias!$A$2:$A$37,0))&lt;&gt;"",$A32&gt;INDEX(Galerias!$M$2:$M$37,MATCH(Q$2,Galerias!$A$2:$A$37,0))),"",ROUND(INDEX(Galerias!$N$2:$N$37,MATCH(Q$2,Galerias!$A$2:$A$37,0))*INDEX(Galerias!$O$2:$O$37,MATCH(Q$2,Galerias!$A$2:$A$37,0))^($A32-1),0))</f>
        <v/>
      </c>
      <c r="R32" s="43">
        <f>IF(AND(INDEX(Galerias!$M$2:$M$37,MATCH(R$2,Galerias!$A$2:$A$37,0))&lt;&gt;"",$A32&gt;INDEX(Galerias!$M$2:$M$37,MATCH(R$2,Galerias!$A$2:$A$37,0))),"",ROUND(INDEX(Galerias!$N$2:$N$37,MATCH(R$2,Galerias!$A$2:$A$37,0))*INDEX(Galerias!$O$2:$O$37,MATCH(R$2,Galerias!$A$2:$A$37,0))^($A32-1),0))</f>
        <v/>
      </c>
      <c r="S32" s="43">
        <f>IF(AND(INDEX(Galerias!$M$2:$M$37,MATCH(S$2,Galerias!$A$2:$A$37,0))&lt;&gt;"",$A32&gt;INDEX(Galerias!$M$2:$M$37,MATCH(S$2,Galerias!$A$2:$A$37,0))),"",ROUND(INDEX(Galerias!$N$2:$N$37,MATCH(S$2,Galerias!$A$2:$A$37,0))*INDEX(Galerias!$O$2:$O$37,MATCH(S$2,Galerias!$A$2:$A$37,0))^($A32-1),0))</f>
        <v/>
      </c>
      <c r="T32" s="43">
        <f>IF(AND(INDEX(Galerias!$M$2:$M$37,MATCH(T$2,Galerias!$A$2:$A$37,0))&lt;&gt;"",$A32&gt;INDEX(Galerias!$M$2:$M$37,MATCH(T$2,Galerias!$A$2:$A$37,0))),"",ROUND(INDEX(Galerias!$N$2:$N$37,MATCH(T$2,Galerias!$A$2:$A$37,0))*INDEX(Galerias!$O$2:$O$37,MATCH(T$2,Galerias!$A$2:$A$37,0))^($A32-1),0))</f>
        <v/>
      </c>
      <c r="U32" s="43">
        <f>IF(AND(INDEX(Galerias!$M$2:$M$37,MATCH(U$2,Galerias!$A$2:$A$37,0))&lt;&gt;"",$A32&gt;INDEX(Galerias!$M$2:$M$37,MATCH(U$2,Galerias!$A$2:$A$37,0))),"",ROUND(INDEX(Galerias!$N$2:$N$37,MATCH(U$2,Galerias!$A$2:$A$37,0))*INDEX(Galerias!$O$2:$O$37,MATCH(U$2,Galerias!$A$2:$A$37,0))^($A32-1),0))</f>
        <v/>
      </c>
      <c r="V32" s="43">
        <f>IF(AND(INDEX(Galerias!$M$2:$M$37,MATCH(V$2,Galerias!$A$2:$A$37,0))&lt;&gt;"",$A32&gt;INDEX(Galerias!$M$2:$M$37,MATCH(V$2,Galerias!$A$2:$A$37,0))),"",ROUND(INDEX(Galerias!$N$2:$N$37,MATCH(V$2,Galerias!$A$2:$A$37,0))*INDEX(Galerias!$O$2:$O$37,MATCH(V$2,Galerias!$A$2:$A$37,0))^($A32-1),0))</f>
        <v/>
      </c>
      <c r="W32" s="43">
        <f>IF(AND(INDEX(Galerias!$M$2:$M$37,MATCH(W$2,Galerias!$A$2:$A$37,0))&lt;&gt;"",$A32&gt;INDEX(Galerias!$M$2:$M$37,MATCH(W$2,Galerias!$A$2:$A$37,0))),"",ROUND(INDEX(Galerias!$N$2:$N$37,MATCH(W$2,Galerias!$A$2:$A$37,0))*INDEX(Galerias!$O$2:$O$37,MATCH(W$2,Galerias!$A$2:$A$37,0))^($A32-1),0))</f>
        <v/>
      </c>
      <c r="X32" s="43">
        <f>IF(AND(INDEX(Galerias!$M$2:$M$37,MATCH(X$2,Galerias!$A$2:$A$37,0))&lt;&gt;"",$A32&gt;INDEX(Galerias!$M$2:$M$37,MATCH(X$2,Galerias!$A$2:$A$37,0))),"",ROUND(INDEX(Galerias!$N$2:$N$37,MATCH(X$2,Galerias!$A$2:$A$37,0))*INDEX(Galerias!$O$2:$O$37,MATCH(X$2,Galerias!$A$2:$A$37,0))^($A32-1),0))</f>
        <v/>
      </c>
      <c r="Y32" s="43">
        <f>IF(AND(INDEX(Galerias!$M$2:$M$37,MATCH(Y$2,Galerias!$A$2:$A$37,0))&lt;&gt;"",$A32&gt;INDEX(Galerias!$M$2:$M$37,MATCH(Y$2,Galerias!$A$2:$A$37,0))),"",ROUND(INDEX(Galerias!$N$2:$N$37,MATCH(Y$2,Galerias!$A$2:$A$37,0))*INDEX(Galerias!$O$2:$O$37,MATCH(Y$2,Galerias!$A$2:$A$37,0))^($A32-1),0))</f>
        <v/>
      </c>
      <c r="Z32" s="43">
        <f>IF(AND(INDEX(Galerias!$M$2:$M$37,MATCH(Z$2,Galerias!$A$2:$A$37,0))&lt;&gt;"",$A32&gt;INDEX(Galerias!$M$2:$M$37,MATCH(Z$2,Galerias!$A$2:$A$37,0))),"",ROUND(INDEX(Galerias!$N$2:$N$37,MATCH(Z$2,Galerias!$A$2:$A$37,0))*INDEX(Galerias!$O$2:$O$37,MATCH(Z$2,Galerias!$A$2:$A$37,0))^($A32-1),0))</f>
        <v/>
      </c>
      <c r="AA32" s="43">
        <f>IF(AND(INDEX(Galerias!$M$2:$M$37,MATCH(AA$2,Galerias!$A$2:$A$37,0))&lt;&gt;"",$A32&gt;INDEX(Galerias!$M$2:$M$37,MATCH(AA$2,Galerias!$A$2:$A$37,0))),"",ROUND(INDEX(Galerias!$N$2:$N$37,MATCH(AA$2,Galerias!$A$2:$A$37,0))*INDEX(Galerias!$O$2:$O$37,MATCH(AA$2,Galerias!$A$2:$A$37,0))^($A32-1),0))</f>
        <v/>
      </c>
      <c r="AB32" s="43">
        <f>IF(AND(INDEX(Galerias!$M$2:$M$37,MATCH(AB$2,Galerias!$A$2:$A$37,0))&lt;&gt;"",$A32&gt;INDEX(Galerias!$M$2:$M$37,MATCH(AB$2,Galerias!$A$2:$A$37,0))),"",ROUND(INDEX(Galerias!$N$2:$N$37,MATCH(AB$2,Galerias!$A$2:$A$37,0))*INDEX(Galerias!$O$2:$O$37,MATCH(AB$2,Galerias!$A$2:$A$37,0))^($A32-1),0))</f>
        <v/>
      </c>
      <c r="AC32" s="43">
        <f>IF(AND(INDEX(Galerias!$M$2:$M$37,MATCH(AC$2,Galerias!$A$2:$A$37,0))&lt;&gt;"",$A32&gt;INDEX(Galerias!$M$2:$M$37,MATCH(AC$2,Galerias!$A$2:$A$37,0))),"",ROUND(INDEX(Galerias!$N$2:$N$37,MATCH(AC$2,Galerias!$A$2:$A$37,0))*INDEX(Galerias!$O$2:$O$37,MATCH(AC$2,Galerias!$A$2:$A$37,0))^($A32-1),0))</f>
        <v/>
      </c>
      <c r="AD32" s="43">
        <f>IF(AND(INDEX(Galerias!$M$2:$M$37,MATCH(AD$2,Galerias!$A$2:$A$37,0))&lt;&gt;"",$A32&gt;INDEX(Galerias!$M$2:$M$37,MATCH(AD$2,Galerias!$A$2:$A$37,0))),"",ROUND(INDEX(Galerias!$N$2:$N$37,MATCH(AD$2,Galerias!$A$2:$A$37,0))*INDEX(Galerias!$O$2:$O$37,MATCH(AD$2,Galerias!$A$2:$A$37,0))^($A32-1),0))</f>
        <v/>
      </c>
      <c r="AE32" s="43">
        <f>IF(AND(INDEX(Galerias!$M$2:$M$37,MATCH(AE$2,Galerias!$A$2:$A$37,0))&lt;&gt;"",$A32&gt;INDEX(Galerias!$M$2:$M$37,MATCH(AE$2,Galerias!$A$2:$A$37,0))),"",ROUND(INDEX(Galerias!$N$2:$N$37,MATCH(AE$2,Galerias!$A$2:$A$37,0))*INDEX(Galerias!$O$2:$O$37,MATCH(AE$2,Galerias!$A$2:$A$37,0))^($A32-1),0))</f>
        <v/>
      </c>
      <c r="AF32" s="43">
        <f>IF(AND(INDEX(Galerias!$M$2:$M$37,MATCH(AF$2,Galerias!$A$2:$A$37,0))&lt;&gt;"",$A32&gt;INDEX(Galerias!$M$2:$M$37,MATCH(AF$2,Galerias!$A$2:$A$37,0))),"",ROUND(INDEX(Galerias!$N$2:$N$37,MATCH(AF$2,Galerias!$A$2:$A$37,0))*INDEX(Galerias!$O$2:$O$37,MATCH(AF$2,Galerias!$A$2:$A$37,0))^($A32-1),0))</f>
        <v/>
      </c>
      <c r="AG32" s="43">
        <f>IF(AND(INDEX(Galerias!$M$2:$M$37,MATCH(AG$2,Galerias!$A$2:$A$37,0))&lt;&gt;"",$A32&gt;INDEX(Galerias!$M$2:$M$37,MATCH(AG$2,Galerias!$A$2:$A$37,0))),"",ROUND(INDEX(Galerias!$N$2:$N$37,MATCH(AG$2,Galerias!$A$2:$A$37,0))*INDEX(Galerias!$O$2:$O$37,MATCH(AG$2,Galerias!$A$2:$A$37,0))^($A32-1),0))</f>
        <v/>
      </c>
      <c r="AH32" s="43">
        <f>IF(AND(INDEX(Galerias!$M$2:$M$37,MATCH(AH$2,Galerias!$A$2:$A$37,0))&lt;&gt;"",$A32&gt;INDEX(Galerias!$M$2:$M$37,MATCH(AH$2,Galerias!$A$2:$A$37,0))),"",ROUND(INDEX(Galerias!$N$2:$N$37,MATCH(AH$2,Galerias!$A$2:$A$37,0))*INDEX(Galerias!$O$2:$O$37,MATCH(AH$2,Galerias!$A$2:$A$37,0))^($A32-1),0))</f>
        <v/>
      </c>
      <c r="AI32" s="43">
        <f>IF(AND(INDEX(Galerias!$M$2:$M$37,MATCH(AI$2,Galerias!$A$2:$A$37,0))&lt;&gt;"",$A32&gt;INDEX(Galerias!$M$2:$M$37,MATCH(AI$2,Galerias!$A$2:$A$37,0))),"",ROUND(INDEX(Galerias!$N$2:$N$37,MATCH(AI$2,Galerias!$A$2:$A$37,0))*INDEX(Galerias!$O$2:$O$37,MATCH(AI$2,Galerias!$A$2:$A$37,0))^($A32-1),0))</f>
        <v/>
      </c>
      <c r="AJ32" s="43">
        <f>IF(AND(INDEX(Galerias!$M$2:$M$37,MATCH(AJ$2,Galerias!$A$2:$A$37,0))&lt;&gt;"",$A32&gt;INDEX(Galerias!$M$2:$M$37,MATCH(AJ$2,Galerias!$A$2:$A$37,0))),"",ROUND(INDEX(Galerias!$N$2:$N$37,MATCH(AJ$2,Galerias!$A$2:$A$37,0))*INDEX(Galerias!$O$2:$O$37,MATCH(AJ$2,Galerias!$A$2:$A$37,0))^($A32-1),0))</f>
        <v/>
      </c>
      <c r="AK32" s="43">
        <f>IF(AND(INDEX(Galerias!$M$2:$M$37,MATCH(AK$2,Galerias!$A$2:$A$37,0))&lt;&gt;"",$A32&gt;INDEX(Galerias!$M$2:$M$37,MATCH(AK$2,Galerias!$A$2:$A$37,0))),"",ROUND(INDEX(Galerias!$N$2:$N$37,MATCH(AK$2,Galerias!$A$2:$A$37,0))*INDEX(Galerias!$O$2:$O$37,MATCH(AK$2,Galerias!$A$2:$A$37,0))^($A32-1),0))</f>
        <v/>
      </c>
    </row>
    <row r="33" ht="15" customHeight="1" s="23">
      <c r="A33" s="25" t="n">
        <v>31</v>
      </c>
      <c r="B33" s="43">
        <f>IF(AND(INDEX(Galerias!$M$2:$M$37,MATCH(B$2,Galerias!$A$2:$A$37,0))&lt;&gt;"",$A33&gt;INDEX(Galerias!$M$2:$M$37,MATCH(B$2,Galerias!$A$2:$A$37,0))),"",ROUND(INDEX(Galerias!$N$2:$N$37,MATCH(B$2,Galerias!$A$2:$A$37,0))*INDEX(Galerias!$O$2:$O$37,MATCH(B$2,Galerias!$A$2:$A$37,0))^($A33-1),0))</f>
        <v/>
      </c>
      <c r="C33" s="43">
        <f>IF(AND(INDEX(Galerias!$M$2:$M$37,MATCH(C$2,Galerias!$A$2:$A$37,0))&lt;&gt;"",$A33&gt;INDEX(Galerias!$M$2:$M$37,MATCH(C$2,Galerias!$A$2:$A$37,0))),"",ROUND(INDEX(Galerias!$N$2:$N$37,MATCH(C$2,Galerias!$A$2:$A$37,0))*INDEX(Galerias!$O$2:$O$37,MATCH(C$2,Galerias!$A$2:$A$37,0))^($A33-1),0))</f>
        <v/>
      </c>
      <c r="D33" s="43">
        <f>IF(AND(INDEX(Galerias!$M$2:$M$37,MATCH(D$2,Galerias!$A$2:$A$37,0))&lt;&gt;"",$A33&gt;INDEX(Galerias!$M$2:$M$37,MATCH(D$2,Galerias!$A$2:$A$37,0))),"",ROUND(INDEX(Galerias!$N$2:$N$37,MATCH(D$2,Galerias!$A$2:$A$37,0))*INDEX(Galerias!$O$2:$O$37,MATCH(D$2,Galerias!$A$2:$A$37,0))^($A33-1),0))</f>
        <v/>
      </c>
      <c r="E33" s="43">
        <f>IF(AND(INDEX(Galerias!$M$2:$M$37,MATCH(E$2,Galerias!$A$2:$A$37,0))&lt;&gt;"",$A33&gt;INDEX(Galerias!$M$2:$M$37,MATCH(E$2,Galerias!$A$2:$A$37,0))),"",ROUND(INDEX(Galerias!$N$2:$N$37,MATCH(E$2,Galerias!$A$2:$A$37,0))*INDEX(Galerias!$O$2:$O$37,MATCH(E$2,Galerias!$A$2:$A$37,0))^($A33-1),0))</f>
        <v/>
      </c>
      <c r="F33" s="43">
        <f>IF(AND(INDEX(Galerias!$M$2:$M$37,MATCH(F$2,Galerias!$A$2:$A$37,0))&lt;&gt;"",$A33&gt;INDEX(Galerias!$M$2:$M$37,MATCH(F$2,Galerias!$A$2:$A$37,0))),"",ROUND(INDEX(Galerias!$N$2:$N$37,MATCH(F$2,Galerias!$A$2:$A$37,0))*INDEX(Galerias!$O$2:$O$37,MATCH(F$2,Galerias!$A$2:$A$37,0))^($A33-1),0))</f>
        <v/>
      </c>
      <c r="G33" s="43">
        <f>IF(AND(INDEX(Galerias!$M$2:$M$37,MATCH(G$2,Galerias!$A$2:$A$37,0))&lt;&gt;"",$A33&gt;INDEX(Galerias!$M$2:$M$37,MATCH(G$2,Galerias!$A$2:$A$37,0))),"",ROUND(INDEX(Galerias!$N$2:$N$37,MATCH(G$2,Galerias!$A$2:$A$37,0))*INDEX(Galerias!$O$2:$O$37,MATCH(G$2,Galerias!$A$2:$A$37,0))^($A33-1),0))</f>
        <v/>
      </c>
      <c r="H33" s="43">
        <f>IF(AND(INDEX(Galerias!$M$2:$M$37,MATCH(H$2,Galerias!$A$2:$A$37,0))&lt;&gt;"",$A33&gt;INDEX(Galerias!$M$2:$M$37,MATCH(H$2,Galerias!$A$2:$A$37,0))),"",ROUND(INDEX(Galerias!$N$2:$N$37,MATCH(H$2,Galerias!$A$2:$A$37,0))*INDEX(Galerias!$O$2:$O$37,MATCH(H$2,Galerias!$A$2:$A$37,0))^($A33-1),0))</f>
        <v/>
      </c>
      <c r="I33" s="43">
        <f>IF(AND(INDEX(Galerias!$M$2:$M$37,MATCH(I$2,Galerias!$A$2:$A$37,0))&lt;&gt;"",$A33&gt;INDEX(Galerias!$M$2:$M$37,MATCH(I$2,Galerias!$A$2:$A$37,0))),"",ROUND(INDEX(Galerias!$N$2:$N$37,MATCH(I$2,Galerias!$A$2:$A$37,0))*INDEX(Galerias!$O$2:$O$37,MATCH(I$2,Galerias!$A$2:$A$37,0))^($A33-1),0))</f>
        <v/>
      </c>
      <c r="J33" s="43">
        <f>IF(AND(INDEX(Galerias!$M$2:$M$37,MATCH(J$2,Galerias!$A$2:$A$37,0))&lt;&gt;"",$A33&gt;INDEX(Galerias!$M$2:$M$37,MATCH(J$2,Galerias!$A$2:$A$37,0))),"",ROUND(INDEX(Galerias!$N$2:$N$37,MATCH(J$2,Galerias!$A$2:$A$37,0))*INDEX(Galerias!$O$2:$O$37,MATCH(J$2,Galerias!$A$2:$A$37,0))^($A33-1),0))</f>
        <v/>
      </c>
      <c r="K33" s="43">
        <f>IF(AND(INDEX(Galerias!$M$2:$M$37,MATCH(K$2,Galerias!$A$2:$A$37,0))&lt;&gt;"",$A33&gt;INDEX(Galerias!$M$2:$M$37,MATCH(K$2,Galerias!$A$2:$A$37,0))),"",ROUND(INDEX(Galerias!$N$2:$N$37,MATCH(K$2,Galerias!$A$2:$A$37,0))*INDEX(Galerias!$O$2:$O$37,MATCH(K$2,Galerias!$A$2:$A$37,0))^($A33-1),0))</f>
        <v/>
      </c>
      <c r="L33" s="43">
        <f>IF(AND(INDEX(Galerias!$M$2:$M$37,MATCH(L$2,Galerias!$A$2:$A$37,0))&lt;&gt;"",$A33&gt;INDEX(Galerias!$M$2:$M$37,MATCH(L$2,Galerias!$A$2:$A$37,0))),"",ROUND(INDEX(Galerias!$N$2:$N$37,MATCH(L$2,Galerias!$A$2:$A$37,0))*INDEX(Galerias!$O$2:$O$37,MATCH(L$2,Galerias!$A$2:$A$37,0))^($A33-1),0))</f>
        <v/>
      </c>
      <c r="M33" s="43">
        <f>IF(AND(INDEX(Galerias!$M$2:$M$37,MATCH(M$2,Galerias!$A$2:$A$37,0))&lt;&gt;"",$A33&gt;INDEX(Galerias!$M$2:$M$37,MATCH(M$2,Galerias!$A$2:$A$37,0))),"",ROUND(INDEX(Galerias!$N$2:$N$37,MATCH(M$2,Galerias!$A$2:$A$37,0))*INDEX(Galerias!$O$2:$O$37,MATCH(M$2,Galerias!$A$2:$A$37,0))^($A33-1),0))</f>
        <v/>
      </c>
      <c r="N33" s="43">
        <f>IF(AND(INDEX(Galerias!$M$2:$M$37,MATCH(N$2,Galerias!$A$2:$A$37,0))&lt;&gt;"",$A33&gt;INDEX(Galerias!$M$2:$M$37,MATCH(N$2,Galerias!$A$2:$A$37,0))),"",ROUND(INDEX(Galerias!$N$2:$N$37,MATCH(N$2,Galerias!$A$2:$A$37,0))*INDEX(Galerias!$O$2:$O$37,MATCH(N$2,Galerias!$A$2:$A$37,0))^($A33-1),0))</f>
        <v/>
      </c>
      <c r="O33" s="43">
        <f>IF(AND(INDEX(Galerias!$M$2:$M$37,MATCH(O$2,Galerias!$A$2:$A$37,0))&lt;&gt;"",$A33&gt;INDEX(Galerias!$M$2:$M$37,MATCH(O$2,Galerias!$A$2:$A$37,0))),"",ROUND(INDEX(Galerias!$N$2:$N$37,MATCH(O$2,Galerias!$A$2:$A$37,0))*INDEX(Galerias!$O$2:$O$37,MATCH(O$2,Galerias!$A$2:$A$37,0))^($A33-1),0))</f>
        <v/>
      </c>
      <c r="P33" s="43">
        <f>IF(AND(INDEX(Galerias!$M$2:$M$37,MATCH(P$2,Galerias!$A$2:$A$37,0))&lt;&gt;"",$A33&gt;INDEX(Galerias!$M$2:$M$37,MATCH(P$2,Galerias!$A$2:$A$37,0))),"",ROUND(INDEX(Galerias!$N$2:$N$37,MATCH(P$2,Galerias!$A$2:$A$37,0))*INDEX(Galerias!$O$2:$O$37,MATCH(P$2,Galerias!$A$2:$A$37,0))^($A33-1),0))</f>
        <v/>
      </c>
      <c r="Q33" s="43">
        <f>IF(AND(INDEX(Galerias!$M$2:$M$37,MATCH(Q$2,Galerias!$A$2:$A$37,0))&lt;&gt;"",$A33&gt;INDEX(Galerias!$M$2:$M$37,MATCH(Q$2,Galerias!$A$2:$A$37,0))),"",ROUND(INDEX(Galerias!$N$2:$N$37,MATCH(Q$2,Galerias!$A$2:$A$37,0))*INDEX(Galerias!$O$2:$O$37,MATCH(Q$2,Galerias!$A$2:$A$37,0))^($A33-1),0))</f>
        <v/>
      </c>
      <c r="R33" s="43">
        <f>IF(AND(INDEX(Galerias!$M$2:$M$37,MATCH(R$2,Galerias!$A$2:$A$37,0))&lt;&gt;"",$A33&gt;INDEX(Galerias!$M$2:$M$37,MATCH(R$2,Galerias!$A$2:$A$37,0))),"",ROUND(INDEX(Galerias!$N$2:$N$37,MATCH(R$2,Galerias!$A$2:$A$37,0))*INDEX(Galerias!$O$2:$O$37,MATCH(R$2,Galerias!$A$2:$A$37,0))^($A33-1),0))</f>
        <v/>
      </c>
      <c r="S33" s="43">
        <f>IF(AND(INDEX(Galerias!$M$2:$M$37,MATCH(S$2,Galerias!$A$2:$A$37,0))&lt;&gt;"",$A33&gt;INDEX(Galerias!$M$2:$M$37,MATCH(S$2,Galerias!$A$2:$A$37,0))),"",ROUND(INDEX(Galerias!$N$2:$N$37,MATCH(S$2,Galerias!$A$2:$A$37,0))*INDEX(Galerias!$O$2:$O$37,MATCH(S$2,Galerias!$A$2:$A$37,0))^($A33-1),0))</f>
        <v/>
      </c>
      <c r="T33" s="43">
        <f>IF(AND(INDEX(Galerias!$M$2:$M$37,MATCH(T$2,Galerias!$A$2:$A$37,0))&lt;&gt;"",$A33&gt;INDEX(Galerias!$M$2:$M$37,MATCH(T$2,Galerias!$A$2:$A$37,0))),"",ROUND(INDEX(Galerias!$N$2:$N$37,MATCH(T$2,Galerias!$A$2:$A$37,0))*INDEX(Galerias!$O$2:$O$37,MATCH(T$2,Galerias!$A$2:$A$37,0))^($A33-1),0))</f>
        <v/>
      </c>
      <c r="U33" s="43">
        <f>IF(AND(INDEX(Galerias!$M$2:$M$37,MATCH(U$2,Galerias!$A$2:$A$37,0))&lt;&gt;"",$A33&gt;INDEX(Galerias!$M$2:$M$37,MATCH(U$2,Galerias!$A$2:$A$37,0))),"",ROUND(INDEX(Galerias!$N$2:$N$37,MATCH(U$2,Galerias!$A$2:$A$37,0))*INDEX(Galerias!$O$2:$O$37,MATCH(U$2,Galerias!$A$2:$A$37,0))^($A33-1),0))</f>
        <v/>
      </c>
      <c r="V33" s="43">
        <f>IF(AND(INDEX(Galerias!$M$2:$M$37,MATCH(V$2,Galerias!$A$2:$A$37,0))&lt;&gt;"",$A33&gt;INDEX(Galerias!$M$2:$M$37,MATCH(V$2,Galerias!$A$2:$A$37,0))),"",ROUND(INDEX(Galerias!$N$2:$N$37,MATCH(V$2,Galerias!$A$2:$A$37,0))*INDEX(Galerias!$O$2:$O$37,MATCH(V$2,Galerias!$A$2:$A$37,0))^($A33-1),0))</f>
        <v/>
      </c>
      <c r="W33" s="43">
        <f>IF(AND(INDEX(Galerias!$M$2:$M$37,MATCH(W$2,Galerias!$A$2:$A$37,0))&lt;&gt;"",$A33&gt;INDEX(Galerias!$M$2:$M$37,MATCH(W$2,Galerias!$A$2:$A$37,0))),"",ROUND(INDEX(Galerias!$N$2:$N$37,MATCH(W$2,Galerias!$A$2:$A$37,0))*INDEX(Galerias!$O$2:$O$37,MATCH(W$2,Galerias!$A$2:$A$37,0))^($A33-1),0))</f>
        <v/>
      </c>
      <c r="X33" s="43">
        <f>IF(AND(INDEX(Galerias!$M$2:$M$37,MATCH(X$2,Galerias!$A$2:$A$37,0))&lt;&gt;"",$A33&gt;INDEX(Galerias!$M$2:$M$37,MATCH(X$2,Galerias!$A$2:$A$37,0))),"",ROUND(INDEX(Galerias!$N$2:$N$37,MATCH(X$2,Galerias!$A$2:$A$37,0))*INDEX(Galerias!$O$2:$O$37,MATCH(X$2,Galerias!$A$2:$A$37,0))^($A33-1),0))</f>
        <v/>
      </c>
      <c r="Y33" s="43">
        <f>IF(AND(INDEX(Galerias!$M$2:$M$37,MATCH(Y$2,Galerias!$A$2:$A$37,0))&lt;&gt;"",$A33&gt;INDEX(Galerias!$M$2:$M$37,MATCH(Y$2,Galerias!$A$2:$A$37,0))),"",ROUND(INDEX(Galerias!$N$2:$N$37,MATCH(Y$2,Galerias!$A$2:$A$37,0))*INDEX(Galerias!$O$2:$O$37,MATCH(Y$2,Galerias!$A$2:$A$37,0))^($A33-1),0))</f>
        <v/>
      </c>
      <c r="Z33" s="43">
        <f>IF(AND(INDEX(Galerias!$M$2:$M$37,MATCH(Z$2,Galerias!$A$2:$A$37,0))&lt;&gt;"",$A33&gt;INDEX(Galerias!$M$2:$M$37,MATCH(Z$2,Galerias!$A$2:$A$37,0))),"",ROUND(INDEX(Galerias!$N$2:$N$37,MATCH(Z$2,Galerias!$A$2:$A$37,0))*INDEX(Galerias!$O$2:$O$37,MATCH(Z$2,Galerias!$A$2:$A$37,0))^($A33-1),0))</f>
        <v/>
      </c>
      <c r="AA33" s="43">
        <f>IF(AND(INDEX(Galerias!$M$2:$M$37,MATCH(AA$2,Galerias!$A$2:$A$37,0))&lt;&gt;"",$A33&gt;INDEX(Galerias!$M$2:$M$37,MATCH(AA$2,Galerias!$A$2:$A$37,0))),"",ROUND(INDEX(Galerias!$N$2:$N$37,MATCH(AA$2,Galerias!$A$2:$A$37,0))*INDEX(Galerias!$O$2:$O$37,MATCH(AA$2,Galerias!$A$2:$A$37,0))^($A33-1),0))</f>
        <v/>
      </c>
      <c r="AB33" s="43">
        <f>IF(AND(INDEX(Galerias!$M$2:$M$37,MATCH(AB$2,Galerias!$A$2:$A$37,0))&lt;&gt;"",$A33&gt;INDEX(Galerias!$M$2:$M$37,MATCH(AB$2,Galerias!$A$2:$A$37,0))),"",ROUND(INDEX(Galerias!$N$2:$N$37,MATCH(AB$2,Galerias!$A$2:$A$37,0))*INDEX(Galerias!$O$2:$O$37,MATCH(AB$2,Galerias!$A$2:$A$37,0))^($A33-1),0))</f>
        <v/>
      </c>
      <c r="AC33" s="43">
        <f>IF(AND(INDEX(Galerias!$M$2:$M$37,MATCH(AC$2,Galerias!$A$2:$A$37,0))&lt;&gt;"",$A33&gt;INDEX(Galerias!$M$2:$M$37,MATCH(AC$2,Galerias!$A$2:$A$37,0))),"",ROUND(INDEX(Galerias!$N$2:$N$37,MATCH(AC$2,Galerias!$A$2:$A$37,0))*INDEX(Galerias!$O$2:$O$37,MATCH(AC$2,Galerias!$A$2:$A$37,0))^($A33-1),0))</f>
        <v/>
      </c>
      <c r="AD33" s="43">
        <f>IF(AND(INDEX(Galerias!$M$2:$M$37,MATCH(AD$2,Galerias!$A$2:$A$37,0))&lt;&gt;"",$A33&gt;INDEX(Galerias!$M$2:$M$37,MATCH(AD$2,Galerias!$A$2:$A$37,0))),"",ROUND(INDEX(Galerias!$N$2:$N$37,MATCH(AD$2,Galerias!$A$2:$A$37,0))*INDEX(Galerias!$O$2:$O$37,MATCH(AD$2,Galerias!$A$2:$A$37,0))^($A33-1),0))</f>
        <v/>
      </c>
      <c r="AE33" s="43">
        <f>IF(AND(INDEX(Galerias!$M$2:$M$37,MATCH(AE$2,Galerias!$A$2:$A$37,0))&lt;&gt;"",$A33&gt;INDEX(Galerias!$M$2:$M$37,MATCH(AE$2,Galerias!$A$2:$A$37,0))),"",ROUND(INDEX(Galerias!$N$2:$N$37,MATCH(AE$2,Galerias!$A$2:$A$37,0))*INDEX(Galerias!$O$2:$O$37,MATCH(AE$2,Galerias!$A$2:$A$37,0))^($A33-1),0))</f>
        <v/>
      </c>
      <c r="AF33" s="43">
        <f>IF(AND(INDEX(Galerias!$M$2:$M$37,MATCH(AF$2,Galerias!$A$2:$A$37,0))&lt;&gt;"",$A33&gt;INDEX(Galerias!$M$2:$M$37,MATCH(AF$2,Galerias!$A$2:$A$37,0))),"",ROUND(INDEX(Galerias!$N$2:$N$37,MATCH(AF$2,Galerias!$A$2:$A$37,0))*INDEX(Galerias!$O$2:$O$37,MATCH(AF$2,Galerias!$A$2:$A$37,0))^($A33-1),0))</f>
        <v/>
      </c>
      <c r="AG33" s="43">
        <f>IF(AND(INDEX(Galerias!$M$2:$M$37,MATCH(AG$2,Galerias!$A$2:$A$37,0))&lt;&gt;"",$A33&gt;INDEX(Galerias!$M$2:$M$37,MATCH(AG$2,Galerias!$A$2:$A$37,0))),"",ROUND(INDEX(Galerias!$N$2:$N$37,MATCH(AG$2,Galerias!$A$2:$A$37,0))*INDEX(Galerias!$O$2:$O$37,MATCH(AG$2,Galerias!$A$2:$A$37,0))^($A33-1),0))</f>
        <v/>
      </c>
      <c r="AH33" s="43">
        <f>IF(AND(INDEX(Galerias!$M$2:$M$37,MATCH(AH$2,Galerias!$A$2:$A$37,0))&lt;&gt;"",$A33&gt;INDEX(Galerias!$M$2:$M$37,MATCH(AH$2,Galerias!$A$2:$A$37,0))),"",ROUND(INDEX(Galerias!$N$2:$N$37,MATCH(AH$2,Galerias!$A$2:$A$37,0))*INDEX(Galerias!$O$2:$O$37,MATCH(AH$2,Galerias!$A$2:$A$37,0))^($A33-1),0))</f>
        <v/>
      </c>
      <c r="AI33" s="43">
        <f>IF(AND(INDEX(Galerias!$M$2:$M$37,MATCH(AI$2,Galerias!$A$2:$A$37,0))&lt;&gt;"",$A33&gt;INDEX(Galerias!$M$2:$M$37,MATCH(AI$2,Galerias!$A$2:$A$37,0))),"",ROUND(INDEX(Galerias!$N$2:$N$37,MATCH(AI$2,Galerias!$A$2:$A$37,0))*INDEX(Galerias!$O$2:$O$37,MATCH(AI$2,Galerias!$A$2:$A$37,0))^($A33-1),0))</f>
        <v/>
      </c>
      <c r="AJ33" s="43">
        <f>IF(AND(INDEX(Galerias!$M$2:$M$37,MATCH(AJ$2,Galerias!$A$2:$A$37,0))&lt;&gt;"",$A33&gt;INDEX(Galerias!$M$2:$M$37,MATCH(AJ$2,Galerias!$A$2:$A$37,0))),"",ROUND(INDEX(Galerias!$N$2:$N$37,MATCH(AJ$2,Galerias!$A$2:$A$37,0))*INDEX(Galerias!$O$2:$O$37,MATCH(AJ$2,Galerias!$A$2:$A$37,0))^($A33-1),0))</f>
        <v/>
      </c>
      <c r="AK33" s="43">
        <f>IF(AND(INDEX(Galerias!$M$2:$M$37,MATCH(AK$2,Galerias!$A$2:$A$37,0))&lt;&gt;"",$A33&gt;INDEX(Galerias!$M$2:$M$37,MATCH(AK$2,Galerias!$A$2:$A$37,0))),"",ROUND(INDEX(Galerias!$N$2:$N$37,MATCH(AK$2,Galerias!$A$2:$A$37,0))*INDEX(Galerias!$O$2:$O$37,MATCH(AK$2,Galerias!$A$2:$A$37,0))^($A33-1),0))</f>
        <v/>
      </c>
    </row>
    <row r="34" ht="15" customHeight="1" s="23">
      <c r="A34" s="25" t="n">
        <v>32</v>
      </c>
      <c r="B34" s="43">
        <f>IF(AND(INDEX(Galerias!$M$2:$M$37,MATCH(B$2,Galerias!$A$2:$A$37,0))&lt;&gt;"",$A34&gt;INDEX(Galerias!$M$2:$M$37,MATCH(B$2,Galerias!$A$2:$A$37,0))),"",ROUND(INDEX(Galerias!$N$2:$N$37,MATCH(B$2,Galerias!$A$2:$A$37,0))*INDEX(Galerias!$O$2:$O$37,MATCH(B$2,Galerias!$A$2:$A$37,0))^($A34-1),0))</f>
        <v/>
      </c>
      <c r="C34" s="43">
        <f>IF(AND(INDEX(Galerias!$M$2:$M$37,MATCH(C$2,Galerias!$A$2:$A$37,0))&lt;&gt;"",$A34&gt;INDEX(Galerias!$M$2:$M$37,MATCH(C$2,Galerias!$A$2:$A$37,0))),"",ROUND(INDEX(Galerias!$N$2:$N$37,MATCH(C$2,Galerias!$A$2:$A$37,0))*INDEX(Galerias!$O$2:$O$37,MATCH(C$2,Galerias!$A$2:$A$37,0))^($A34-1),0))</f>
        <v/>
      </c>
      <c r="D34" s="43">
        <f>IF(AND(INDEX(Galerias!$M$2:$M$37,MATCH(D$2,Galerias!$A$2:$A$37,0))&lt;&gt;"",$A34&gt;INDEX(Galerias!$M$2:$M$37,MATCH(D$2,Galerias!$A$2:$A$37,0))),"",ROUND(INDEX(Galerias!$N$2:$N$37,MATCH(D$2,Galerias!$A$2:$A$37,0))*INDEX(Galerias!$O$2:$O$37,MATCH(D$2,Galerias!$A$2:$A$37,0))^($A34-1),0))</f>
        <v/>
      </c>
      <c r="E34" s="43">
        <f>IF(AND(INDEX(Galerias!$M$2:$M$37,MATCH(E$2,Galerias!$A$2:$A$37,0))&lt;&gt;"",$A34&gt;INDEX(Galerias!$M$2:$M$37,MATCH(E$2,Galerias!$A$2:$A$37,0))),"",ROUND(INDEX(Galerias!$N$2:$N$37,MATCH(E$2,Galerias!$A$2:$A$37,0))*INDEX(Galerias!$O$2:$O$37,MATCH(E$2,Galerias!$A$2:$A$37,0))^($A34-1),0))</f>
        <v/>
      </c>
      <c r="F34" s="43">
        <f>IF(AND(INDEX(Galerias!$M$2:$M$37,MATCH(F$2,Galerias!$A$2:$A$37,0))&lt;&gt;"",$A34&gt;INDEX(Galerias!$M$2:$M$37,MATCH(F$2,Galerias!$A$2:$A$37,0))),"",ROUND(INDEX(Galerias!$N$2:$N$37,MATCH(F$2,Galerias!$A$2:$A$37,0))*INDEX(Galerias!$O$2:$O$37,MATCH(F$2,Galerias!$A$2:$A$37,0))^($A34-1),0))</f>
        <v/>
      </c>
      <c r="G34" s="43">
        <f>IF(AND(INDEX(Galerias!$M$2:$M$37,MATCH(G$2,Galerias!$A$2:$A$37,0))&lt;&gt;"",$A34&gt;INDEX(Galerias!$M$2:$M$37,MATCH(G$2,Galerias!$A$2:$A$37,0))),"",ROUND(INDEX(Galerias!$N$2:$N$37,MATCH(G$2,Galerias!$A$2:$A$37,0))*INDEX(Galerias!$O$2:$O$37,MATCH(G$2,Galerias!$A$2:$A$37,0))^($A34-1),0))</f>
        <v/>
      </c>
      <c r="H34" s="43">
        <f>IF(AND(INDEX(Galerias!$M$2:$M$37,MATCH(H$2,Galerias!$A$2:$A$37,0))&lt;&gt;"",$A34&gt;INDEX(Galerias!$M$2:$M$37,MATCH(H$2,Galerias!$A$2:$A$37,0))),"",ROUND(INDEX(Galerias!$N$2:$N$37,MATCH(H$2,Galerias!$A$2:$A$37,0))*INDEX(Galerias!$O$2:$O$37,MATCH(H$2,Galerias!$A$2:$A$37,0))^($A34-1),0))</f>
        <v/>
      </c>
      <c r="I34" s="43">
        <f>IF(AND(INDEX(Galerias!$M$2:$M$37,MATCH(I$2,Galerias!$A$2:$A$37,0))&lt;&gt;"",$A34&gt;INDEX(Galerias!$M$2:$M$37,MATCH(I$2,Galerias!$A$2:$A$37,0))),"",ROUND(INDEX(Galerias!$N$2:$N$37,MATCH(I$2,Galerias!$A$2:$A$37,0))*INDEX(Galerias!$O$2:$O$37,MATCH(I$2,Galerias!$A$2:$A$37,0))^($A34-1),0))</f>
        <v/>
      </c>
      <c r="J34" s="43">
        <f>IF(AND(INDEX(Galerias!$M$2:$M$37,MATCH(J$2,Galerias!$A$2:$A$37,0))&lt;&gt;"",$A34&gt;INDEX(Galerias!$M$2:$M$37,MATCH(J$2,Galerias!$A$2:$A$37,0))),"",ROUND(INDEX(Galerias!$N$2:$N$37,MATCH(J$2,Galerias!$A$2:$A$37,0))*INDEX(Galerias!$O$2:$O$37,MATCH(J$2,Galerias!$A$2:$A$37,0))^($A34-1),0))</f>
        <v/>
      </c>
      <c r="K34" s="43">
        <f>IF(AND(INDEX(Galerias!$M$2:$M$37,MATCH(K$2,Galerias!$A$2:$A$37,0))&lt;&gt;"",$A34&gt;INDEX(Galerias!$M$2:$M$37,MATCH(K$2,Galerias!$A$2:$A$37,0))),"",ROUND(INDEX(Galerias!$N$2:$N$37,MATCH(K$2,Galerias!$A$2:$A$37,0))*INDEX(Galerias!$O$2:$O$37,MATCH(K$2,Galerias!$A$2:$A$37,0))^($A34-1),0))</f>
        <v/>
      </c>
      <c r="L34" s="43">
        <f>IF(AND(INDEX(Galerias!$M$2:$M$37,MATCH(L$2,Galerias!$A$2:$A$37,0))&lt;&gt;"",$A34&gt;INDEX(Galerias!$M$2:$M$37,MATCH(L$2,Galerias!$A$2:$A$37,0))),"",ROUND(INDEX(Galerias!$N$2:$N$37,MATCH(L$2,Galerias!$A$2:$A$37,0))*INDEX(Galerias!$O$2:$O$37,MATCH(L$2,Galerias!$A$2:$A$37,0))^($A34-1),0))</f>
        <v/>
      </c>
      <c r="M34" s="43">
        <f>IF(AND(INDEX(Galerias!$M$2:$M$37,MATCH(M$2,Galerias!$A$2:$A$37,0))&lt;&gt;"",$A34&gt;INDEX(Galerias!$M$2:$M$37,MATCH(M$2,Galerias!$A$2:$A$37,0))),"",ROUND(INDEX(Galerias!$N$2:$N$37,MATCH(M$2,Galerias!$A$2:$A$37,0))*INDEX(Galerias!$O$2:$O$37,MATCH(M$2,Galerias!$A$2:$A$37,0))^($A34-1),0))</f>
        <v/>
      </c>
      <c r="N34" s="43">
        <f>IF(AND(INDEX(Galerias!$M$2:$M$37,MATCH(N$2,Galerias!$A$2:$A$37,0))&lt;&gt;"",$A34&gt;INDEX(Galerias!$M$2:$M$37,MATCH(N$2,Galerias!$A$2:$A$37,0))),"",ROUND(INDEX(Galerias!$N$2:$N$37,MATCH(N$2,Galerias!$A$2:$A$37,0))*INDEX(Galerias!$O$2:$O$37,MATCH(N$2,Galerias!$A$2:$A$37,0))^($A34-1),0))</f>
        <v/>
      </c>
      <c r="O34" s="43">
        <f>IF(AND(INDEX(Galerias!$M$2:$M$37,MATCH(O$2,Galerias!$A$2:$A$37,0))&lt;&gt;"",$A34&gt;INDEX(Galerias!$M$2:$M$37,MATCH(O$2,Galerias!$A$2:$A$37,0))),"",ROUND(INDEX(Galerias!$N$2:$N$37,MATCH(O$2,Galerias!$A$2:$A$37,0))*INDEX(Galerias!$O$2:$O$37,MATCH(O$2,Galerias!$A$2:$A$37,0))^($A34-1),0))</f>
        <v/>
      </c>
      <c r="P34" s="43">
        <f>IF(AND(INDEX(Galerias!$M$2:$M$37,MATCH(P$2,Galerias!$A$2:$A$37,0))&lt;&gt;"",$A34&gt;INDEX(Galerias!$M$2:$M$37,MATCH(P$2,Galerias!$A$2:$A$37,0))),"",ROUND(INDEX(Galerias!$N$2:$N$37,MATCH(P$2,Galerias!$A$2:$A$37,0))*INDEX(Galerias!$O$2:$O$37,MATCH(P$2,Galerias!$A$2:$A$37,0))^($A34-1),0))</f>
        <v/>
      </c>
      <c r="Q34" s="43">
        <f>IF(AND(INDEX(Galerias!$M$2:$M$37,MATCH(Q$2,Galerias!$A$2:$A$37,0))&lt;&gt;"",$A34&gt;INDEX(Galerias!$M$2:$M$37,MATCH(Q$2,Galerias!$A$2:$A$37,0))),"",ROUND(INDEX(Galerias!$N$2:$N$37,MATCH(Q$2,Galerias!$A$2:$A$37,0))*INDEX(Galerias!$O$2:$O$37,MATCH(Q$2,Galerias!$A$2:$A$37,0))^($A34-1),0))</f>
        <v/>
      </c>
      <c r="R34" s="43">
        <f>IF(AND(INDEX(Galerias!$M$2:$M$37,MATCH(R$2,Galerias!$A$2:$A$37,0))&lt;&gt;"",$A34&gt;INDEX(Galerias!$M$2:$M$37,MATCH(R$2,Galerias!$A$2:$A$37,0))),"",ROUND(INDEX(Galerias!$N$2:$N$37,MATCH(R$2,Galerias!$A$2:$A$37,0))*INDEX(Galerias!$O$2:$O$37,MATCH(R$2,Galerias!$A$2:$A$37,0))^($A34-1),0))</f>
        <v/>
      </c>
      <c r="S34" s="43">
        <f>IF(AND(INDEX(Galerias!$M$2:$M$37,MATCH(S$2,Galerias!$A$2:$A$37,0))&lt;&gt;"",$A34&gt;INDEX(Galerias!$M$2:$M$37,MATCH(S$2,Galerias!$A$2:$A$37,0))),"",ROUND(INDEX(Galerias!$N$2:$N$37,MATCH(S$2,Galerias!$A$2:$A$37,0))*INDEX(Galerias!$O$2:$O$37,MATCH(S$2,Galerias!$A$2:$A$37,0))^($A34-1),0))</f>
        <v/>
      </c>
      <c r="T34" s="43">
        <f>IF(AND(INDEX(Galerias!$M$2:$M$37,MATCH(T$2,Galerias!$A$2:$A$37,0))&lt;&gt;"",$A34&gt;INDEX(Galerias!$M$2:$M$37,MATCH(T$2,Galerias!$A$2:$A$37,0))),"",ROUND(INDEX(Galerias!$N$2:$N$37,MATCH(T$2,Galerias!$A$2:$A$37,0))*INDEX(Galerias!$O$2:$O$37,MATCH(T$2,Galerias!$A$2:$A$37,0))^($A34-1),0))</f>
        <v/>
      </c>
      <c r="U34" s="43">
        <f>IF(AND(INDEX(Galerias!$M$2:$M$37,MATCH(U$2,Galerias!$A$2:$A$37,0))&lt;&gt;"",$A34&gt;INDEX(Galerias!$M$2:$M$37,MATCH(U$2,Galerias!$A$2:$A$37,0))),"",ROUND(INDEX(Galerias!$N$2:$N$37,MATCH(U$2,Galerias!$A$2:$A$37,0))*INDEX(Galerias!$O$2:$O$37,MATCH(U$2,Galerias!$A$2:$A$37,0))^($A34-1),0))</f>
        <v/>
      </c>
      <c r="V34" s="43">
        <f>IF(AND(INDEX(Galerias!$M$2:$M$37,MATCH(V$2,Galerias!$A$2:$A$37,0))&lt;&gt;"",$A34&gt;INDEX(Galerias!$M$2:$M$37,MATCH(V$2,Galerias!$A$2:$A$37,0))),"",ROUND(INDEX(Galerias!$N$2:$N$37,MATCH(V$2,Galerias!$A$2:$A$37,0))*INDEX(Galerias!$O$2:$O$37,MATCH(V$2,Galerias!$A$2:$A$37,0))^($A34-1),0))</f>
        <v/>
      </c>
      <c r="W34" s="43">
        <f>IF(AND(INDEX(Galerias!$M$2:$M$37,MATCH(W$2,Galerias!$A$2:$A$37,0))&lt;&gt;"",$A34&gt;INDEX(Galerias!$M$2:$M$37,MATCH(W$2,Galerias!$A$2:$A$37,0))),"",ROUND(INDEX(Galerias!$N$2:$N$37,MATCH(W$2,Galerias!$A$2:$A$37,0))*INDEX(Galerias!$O$2:$O$37,MATCH(W$2,Galerias!$A$2:$A$37,0))^($A34-1),0))</f>
        <v/>
      </c>
      <c r="X34" s="43">
        <f>IF(AND(INDEX(Galerias!$M$2:$M$37,MATCH(X$2,Galerias!$A$2:$A$37,0))&lt;&gt;"",$A34&gt;INDEX(Galerias!$M$2:$M$37,MATCH(X$2,Galerias!$A$2:$A$37,0))),"",ROUND(INDEX(Galerias!$N$2:$N$37,MATCH(X$2,Galerias!$A$2:$A$37,0))*INDEX(Galerias!$O$2:$O$37,MATCH(X$2,Galerias!$A$2:$A$37,0))^($A34-1),0))</f>
        <v/>
      </c>
      <c r="Y34" s="43">
        <f>IF(AND(INDEX(Galerias!$M$2:$M$37,MATCH(Y$2,Galerias!$A$2:$A$37,0))&lt;&gt;"",$A34&gt;INDEX(Galerias!$M$2:$M$37,MATCH(Y$2,Galerias!$A$2:$A$37,0))),"",ROUND(INDEX(Galerias!$N$2:$N$37,MATCH(Y$2,Galerias!$A$2:$A$37,0))*INDEX(Galerias!$O$2:$O$37,MATCH(Y$2,Galerias!$A$2:$A$37,0))^($A34-1),0))</f>
        <v/>
      </c>
      <c r="Z34" s="43">
        <f>IF(AND(INDEX(Galerias!$M$2:$M$37,MATCH(Z$2,Galerias!$A$2:$A$37,0))&lt;&gt;"",$A34&gt;INDEX(Galerias!$M$2:$M$37,MATCH(Z$2,Galerias!$A$2:$A$37,0))),"",ROUND(INDEX(Galerias!$N$2:$N$37,MATCH(Z$2,Galerias!$A$2:$A$37,0))*INDEX(Galerias!$O$2:$O$37,MATCH(Z$2,Galerias!$A$2:$A$37,0))^($A34-1),0))</f>
        <v/>
      </c>
      <c r="AA34" s="43">
        <f>IF(AND(INDEX(Galerias!$M$2:$M$37,MATCH(AA$2,Galerias!$A$2:$A$37,0))&lt;&gt;"",$A34&gt;INDEX(Galerias!$M$2:$M$37,MATCH(AA$2,Galerias!$A$2:$A$37,0))),"",ROUND(INDEX(Galerias!$N$2:$N$37,MATCH(AA$2,Galerias!$A$2:$A$37,0))*INDEX(Galerias!$O$2:$O$37,MATCH(AA$2,Galerias!$A$2:$A$37,0))^($A34-1),0))</f>
        <v/>
      </c>
      <c r="AB34" s="43">
        <f>IF(AND(INDEX(Galerias!$M$2:$M$37,MATCH(AB$2,Galerias!$A$2:$A$37,0))&lt;&gt;"",$A34&gt;INDEX(Galerias!$M$2:$M$37,MATCH(AB$2,Galerias!$A$2:$A$37,0))),"",ROUND(INDEX(Galerias!$N$2:$N$37,MATCH(AB$2,Galerias!$A$2:$A$37,0))*INDEX(Galerias!$O$2:$O$37,MATCH(AB$2,Galerias!$A$2:$A$37,0))^($A34-1),0))</f>
        <v/>
      </c>
      <c r="AC34" s="43">
        <f>IF(AND(INDEX(Galerias!$M$2:$M$37,MATCH(AC$2,Galerias!$A$2:$A$37,0))&lt;&gt;"",$A34&gt;INDEX(Galerias!$M$2:$M$37,MATCH(AC$2,Galerias!$A$2:$A$37,0))),"",ROUND(INDEX(Galerias!$N$2:$N$37,MATCH(AC$2,Galerias!$A$2:$A$37,0))*INDEX(Galerias!$O$2:$O$37,MATCH(AC$2,Galerias!$A$2:$A$37,0))^($A34-1),0))</f>
        <v/>
      </c>
      <c r="AD34" s="43">
        <f>IF(AND(INDEX(Galerias!$M$2:$M$37,MATCH(AD$2,Galerias!$A$2:$A$37,0))&lt;&gt;"",$A34&gt;INDEX(Galerias!$M$2:$M$37,MATCH(AD$2,Galerias!$A$2:$A$37,0))),"",ROUND(INDEX(Galerias!$N$2:$N$37,MATCH(AD$2,Galerias!$A$2:$A$37,0))*INDEX(Galerias!$O$2:$O$37,MATCH(AD$2,Galerias!$A$2:$A$37,0))^($A34-1),0))</f>
        <v/>
      </c>
      <c r="AE34" s="43">
        <f>IF(AND(INDEX(Galerias!$M$2:$M$37,MATCH(AE$2,Galerias!$A$2:$A$37,0))&lt;&gt;"",$A34&gt;INDEX(Galerias!$M$2:$M$37,MATCH(AE$2,Galerias!$A$2:$A$37,0))),"",ROUND(INDEX(Galerias!$N$2:$N$37,MATCH(AE$2,Galerias!$A$2:$A$37,0))*INDEX(Galerias!$O$2:$O$37,MATCH(AE$2,Galerias!$A$2:$A$37,0))^($A34-1),0))</f>
        <v/>
      </c>
      <c r="AF34" s="43">
        <f>IF(AND(INDEX(Galerias!$M$2:$M$37,MATCH(AF$2,Galerias!$A$2:$A$37,0))&lt;&gt;"",$A34&gt;INDEX(Galerias!$M$2:$M$37,MATCH(AF$2,Galerias!$A$2:$A$37,0))),"",ROUND(INDEX(Galerias!$N$2:$N$37,MATCH(AF$2,Galerias!$A$2:$A$37,0))*INDEX(Galerias!$O$2:$O$37,MATCH(AF$2,Galerias!$A$2:$A$37,0))^($A34-1),0))</f>
        <v/>
      </c>
      <c r="AG34" s="43">
        <f>IF(AND(INDEX(Galerias!$M$2:$M$37,MATCH(AG$2,Galerias!$A$2:$A$37,0))&lt;&gt;"",$A34&gt;INDEX(Galerias!$M$2:$M$37,MATCH(AG$2,Galerias!$A$2:$A$37,0))),"",ROUND(INDEX(Galerias!$N$2:$N$37,MATCH(AG$2,Galerias!$A$2:$A$37,0))*INDEX(Galerias!$O$2:$O$37,MATCH(AG$2,Galerias!$A$2:$A$37,0))^($A34-1),0))</f>
        <v/>
      </c>
      <c r="AH34" s="43">
        <f>IF(AND(INDEX(Galerias!$M$2:$M$37,MATCH(AH$2,Galerias!$A$2:$A$37,0))&lt;&gt;"",$A34&gt;INDEX(Galerias!$M$2:$M$37,MATCH(AH$2,Galerias!$A$2:$A$37,0))),"",ROUND(INDEX(Galerias!$N$2:$N$37,MATCH(AH$2,Galerias!$A$2:$A$37,0))*INDEX(Galerias!$O$2:$O$37,MATCH(AH$2,Galerias!$A$2:$A$37,0))^($A34-1),0))</f>
        <v/>
      </c>
      <c r="AI34" s="43">
        <f>IF(AND(INDEX(Galerias!$M$2:$M$37,MATCH(AI$2,Galerias!$A$2:$A$37,0))&lt;&gt;"",$A34&gt;INDEX(Galerias!$M$2:$M$37,MATCH(AI$2,Galerias!$A$2:$A$37,0))),"",ROUND(INDEX(Galerias!$N$2:$N$37,MATCH(AI$2,Galerias!$A$2:$A$37,0))*INDEX(Galerias!$O$2:$O$37,MATCH(AI$2,Galerias!$A$2:$A$37,0))^($A34-1),0))</f>
        <v/>
      </c>
      <c r="AJ34" s="43">
        <f>IF(AND(INDEX(Galerias!$M$2:$M$37,MATCH(AJ$2,Galerias!$A$2:$A$37,0))&lt;&gt;"",$A34&gt;INDEX(Galerias!$M$2:$M$37,MATCH(AJ$2,Galerias!$A$2:$A$37,0))),"",ROUND(INDEX(Galerias!$N$2:$N$37,MATCH(AJ$2,Galerias!$A$2:$A$37,0))*INDEX(Galerias!$O$2:$O$37,MATCH(AJ$2,Galerias!$A$2:$A$37,0))^($A34-1),0))</f>
        <v/>
      </c>
      <c r="AK34" s="43">
        <f>IF(AND(INDEX(Galerias!$M$2:$M$37,MATCH(AK$2,Galerias!$A$2:$A$37,0))&lt;&gt;"",$A34&gt;INDEX(Galerias!$M$2:$M$37,MATCH(AK$2,Galerias!$A$2:$A$37,0))),"",ROUND(INDEX(Galerias!$N$2:$N$37,MATCH(AK$2,Galerias!$A$2:$A$37,0))*INDEX(Galerias!$O$2:$O$37,MATCH(AK$2,Galerias!$A$2:$A$37,0))^($A34-1),0))</f>
        <v/>
      </c>
    </row>
    <row r="35" ht="15" customHeight="1" s="23">
      <c r="A35" s="25" t="n">
        <v>33</v>
      </c>
      <c r="B35" s="43">
        <f>IF(AND(INDEX(Galerias!$M$2:$M$37,MATCH(B$2,Galerias!$A$2:$A$37,0))&lt;&gt;"",$A35&gt;INDEX(Galerias!$M$2:$M$37,MATCH(B$2,Galerias!$A$2:$A$37,0))),"",ROUND(INDEX(Galerias!$N$2:$N$37,MATCH(B$2,Galerias!$A$2:$A$37,0))*INDEX(Galerias!$O$2:$O$37,MATCH(B$2,Galerias!$A$2:$A$37,0))^($A35-1),0))</f>
        <v/>
      </c>
      <c r="C35" s="43">
        <f>IF(AND(INDEX(Galerias!$M$2:$M$37,MATCH(C$2,Galerias!$A$2:$A$37,0))&lt;&gt;"",$A35&gt;INDEX(Galerias!$M$2:$M$37,MATCH(C$2,Galerias!$A$2:$A$37,0))),"",ROUND(INDEX(Galerias!$N$2:$N$37,MATCH(C$2,Galerias!$A$2:$A$37,0))*INDEX(Galerias!$O$2:$O$37,MATCH(C$2,Galerias!$A$2:$A$37,0))^($A35-1),0))</f>
        <v/>
      </c>
      <c r="D35" s="43">
        <f>IF(AND(INDEX(Galerias!$M$2:$M$37,MATCH(D$2,Galerias!$A$2:$A$37,0))&lt;&gt;"",$A35&gt;INDEX(Galerias!$M$2:$M$37,MATCH(D$2,Galerias!$A$2:$A$37,0))),"",ROUND(INDEX(Galerias!$N$2:$N$37,MATCH(D$2,Galerias!$A$2:$A$37,0))*INDEX(Galerias!$O$2:$O$37,MATCH(D$2,Galerias!$A$2:$A$37,0))^($A35-1),0))</f>
        <v/>
      </c>
      <c r="E35" s="43">
        <f>IF(AND(INDEX(Galerias!$M$2:$M$37,MATCH(E$2,Galerias!$A$2:$A$37,0))&lt;&gt;"",$A35&gt;INDEX(Galerias!$M$2:$M$37,MATCH(E$2,Galerias!$A$2:$A$37,0))),"",ROUND(INDEX(Galerias!$N$2:$N$37,MATCH(E$2,Galerias!$A$2:$A$37,0))*INDEX(Galerias!$O$2:$O$37,MATCH(E$2,Galerias!$A$2:$A$37,0))^($A35-1),0))</f>
        <v/>
      </c>
      <c r="F35" s="43">
        <f>IF(AND(INDEX(Galerias!$M$2:$M$37,MATCH(F$2,Galerias!$A$2:$A$37,0))&lt;&gt;"",$A35&gt;INDEX(Galerias!$M$2:$M$37,MATCH(F$2,Galerias!$A$2:$A$37,0))),"",ROUND(INDEX(Galerias!$N$2:$N$37,MATCH(F$2,Galerias!$A$2:$A$37,0))*INDEX(Galerias!$O$2:$O$37,MATCH(F$2,Galerias!$A$2:$A$37,0))^($A35-1),0))</f>
        <v/>
      </c>
      <c r="G35" s="43">
        <f>IF(AND(INDEX(Galerias!$M$2:$M$37,MATCH(G$2,Galerias!$A$2:$A$37,0))&lt;&gt;"",$A35&gt;INDEX(Galerias!$M$2:$M$37,MATCH(G$2,Galerias!$A$2:$A$37,0))),"",ROUND(INDEX(Galerias!$N$2:$N$37,MATCH(G$2,Galerias!$A$2:$A$37,0))*INDEX(Galerias!$O$2:$O$37,MATCH(G$2,Galerias!$A$2:$A$37,0))^($A35-1),0))</f>
        <v/>
      </c>
      <c r="H35" s="43">
        <f>IF(AND(INDEX(Galerias!$M$2:$M$37,MATCH(H$2,Galerias!$A$2:$A$37,0))&lt;&gt;"",$A35&gt;INDEX(Galerias!$M$2:$M$37,MATCH(H$2,Galerias!$A$2:$A$37,0))),"",ROUND(INDEX(Galerias!$N$2:$N$37,MATCH(H$2,Galerias!$A$2:$A$37,0))*INDEX(Galerias!$O$2:$O$37,MATCH(H$2,Galerias!$A$2:$A$37,0))^($A35-1),0))</f>
        <v/>
      </c>
      <c r="I35" s="43">
        <f>IF(AND(INDEX(Galerias!$M$2:$M$37,MATCH(I$2,Galerias!$A$2:$A$37,0))&lt;&gt;"",$A35&gt;INDEX(Galerias!$M$2:$M$37,MATCH(I$2,Galerias!$A$2:$A$37,0))),"",ROUND(INDEX(Galerias!$N$2:$N$37,MATCH(I$2,Galerias!$A$2:$A$37,0))*INDEX(Galerias!$O$2:$O$37,MATCH(I$2,Galerias!$A$2:$A$37,0))^($A35-1),0))</f>
        <v/>
      </c>
      <c r="J35" s="43">
        <f>IF(AND(INDEX(Galerias!$M$2:$M$37,MATCH(J$2,Galerias!$A$2:$A$37,0))&lt;&gt;"",$A35&gt;INDEX(Galerias!$M$2:$M$37,MATCH(J$2,Galerias!$A$2:$A$37,0))),"",ROUND(INDEX(Galerias!$N$2:$N$37,MATCH(J$2,Galerias!$A$2:$A$37,0))*INDEX(Galerias!$O$2:$O$37,MATCH(J$2,Galerias!$A$2:$A$37,0))^($A35-1),0))</f>
        <v/>
      </c>
      <c r="K35" s="43">
        <f>IF(AND(INDEX(Galerias!$M$2:$M$37,MATCH(K$2,Galerias!$A$2:$A$37,0))&lt;&gt;"",$A35&gt;INDEX(Galerias!$M$2:$M$37,MATCH(K$2,Galerias!$A$2:$A$37,0))),"",ROUND(INDEX(Galerias!$N$2:$N$37,MATCH(K$2,Galerias!$A$2:$A$37,0))*INDEX(Galerias!$O$2:$O$37,MATCH(K$2,Galerias!$A$2:$A$37,0))^($A35-1),0))</f>
        <v/>
      </c>
      <c r="L35" s="43">
        <f>IF(AND(INDEX(Galerias!$M$2:$M$37,MATCH(L$2,Galerias!$A$2:$A$37,0))&lt;&gt;"",$A35&gt;INDEX(Galerias!$M$2:$M$37,MATCH(L$2,Galerias!$A$2:$A$37,0))),"",ROUND(INDEX(Galerias!$N$2:$N$37,MATCH(L$2,Galerias!$A$2:$A$37,0))*INDEX(Galerias!$O$2:$O$37,MATCH(L$2,Galerias!$A$2:$A$37,0))^($A35-1),0))</f>
        <v/>
      </c>
      <c r="M35" s="43">
        <f>IF(AND(INDEX(Galerias!$M$2:$M$37,MATCH(M$2,Galerias!$A$2:$A$37,0))&lt;&gt;"",$A35&gt;INDEX(Galerias!$M$2:$M$37,MATCH(M$2,Galerias!$A$2:$A$37,0))),"",ROUND(INDEX(Galerias!$N$2:$N$37,MATCH(M$2,Galerias!$A$2:$A$37,0))*INDEX(Galerias!$O$2:$O$37,MATCH(M$2,Galerias!$A$2:$A$37,0))^($A35-1),0))</f>
        <v/>
      </c>
      <c r="N35" s="43">
        <f>IF(AND(INDEX(Galerias!$M$2:$M$37,MATCH(N$2,Galerias!$A$2:$A$37,0))&lt;&gt;"",$A35&gt;INDEX(Galerias!$M$2:$M$37,MATCH(N$2,Galerias!$A$2:$A$37,0))),"",ROUND(INDEX(Galerias!$N$2:$N$37,MATCH(N$2,Galerias!$A$2:$A$37,0))*INDEX(Galerias!$O$2:$O$37,MATCH(N$2,Galerias!$A$2:$A$37,0))^($A35-1),0))</f>
        <v/>
      </c>
      <c r="O35" s="43">
        <f>IF(AND(INDEX(Galerias!$M$2:$M$37,MATCH(O$2,Galerias!$A$2:$A$37,0))&lt;&gt;"",$A35&gt;INDEX(Galerias!$M$2:$M$37,MATCH(O$2,Galerias!$A$2:$A$37,0))),"",ROUND(INDEX(Galerias!$N$2:$N$37,MATCH(O$2,Galerias!$A$2:$A$37,0))*INDEX(Galerias!$O$2:$O$37,MATCH(O$2,Galerias!$A$2:$A$37,0))^($A35-1),0))</f>
        <v/>
      </c>
      <c r="P35" s="43">
        <f>IF(AND(INDEX(Galerias!$M$2:$M$37,MATCH(P$2,Galerias!$A$2:$A$37,0))&lt;&gt;"",$A35&gt;INDEX(Galerias!$M$2:$M$37,MATCH(P$2,Galerias!$A$2:$A$37,0))),"",ROUND(INDEX(Galerias!$N$2:$N$37,MATCH(P$2,Galerias!$A$2:$A$37,0))*INDEX(Galerias!$O$2:$O$37,MATCH(P$2,Galerias!$A$2:$A$37,0))^($A35-1),0))</f>
        <v/>
      </c>
      <c r="Q35" s="43">
        <f>IF(AND(INDEX(Galerias!$M$2:$M$37,MATCH(Q$2,Galerias!$A$2:$A$37,0))&lt;&gt;"",$A35&gt;INDEX(Galerias!$M$2:$M$37,MATCH(Q$2,Galerias!$A$2:$A$37,0))),"",ROUND(INDEX(Galerias!$N$2:$N$37,MATCH(Q$2,Galerias!$A$2:$A$37,0))*INDEX(Galerias!$O$2:$O$37,MATCH(Q$2,Galerias!$A$2:$A$37,0))^($A35-1),0))</f>
        <v/>
      </c>
      <c r="R35" s="43">
        <f>IF(AND(INDEX(Galerias!$M$2:$M$37,MATCH(R$2,Galerias!$A$2:$A$37,0))&lt;&gt;"",$A35&gt;INDEX(Galerias!$M$2:$M$37,MATCH(R$2,Galerias!$A$2:$A$37,0))),"",ROUND(INDEX(Galerias!$N$2:$N$37,MATCH(R$2,Galerias!$A$2:$A$37,0))*INDEX(Galerias!$O$2:$O$37,MATCH(R$2,Galerias!$A$2:$A$37,0))^($A35-1),0))</f>
        <v/>
      </c>
      <c r="S35" s="43">
        <f>IF(AND(INDEX(Galerias!$M$2:$M$37,MATCH(S$2,Galerias!$A$2:$A$37,0))&lt;&gt;"",$A35&gt;INDEX(Galerias!$M$2:$M$37,MATCH(S$2,Galerias!$A$2:$A$37,0))),"",ROUND(INDEX(Galerias!$N$2:$N$37,MATCH(S$2,Galerias!$A$2:$A$37,0))*INDEX(Galerias!$O$2:$O$37,MATCH(S$2,Galerias!$A$2:$A$37,0))^($A35-1),0))</f>
        <v/>
      </c>
      <c r="T35" s="43">
        <f>IF(AND(INDEX(Galerias!$M$2:$M$37,MATCH(T$2,Galerias!$A$2:$A$37,0))&lt;&gt;"",$A35&gt;INDEX(Galerias!$M$2:$M$37,MATCH(T$2,Galerias!$A$2:$A$37,0))),"",ROUND(INDEX(Galerias!$N$2:$N$37,MATCH(T$2,Galerias!$A$2:$A$37,0))*INDEX(Galerias!$O$2:$O$37,MATCH(T$2,Galerias!$A$2:$A$37,0))^($A35-1),0))</f>
        <v/>
      </c>
      <c r="U35" s="43">
        <f>IF(AND(INDEX(Galerias!$M$2:$M$37,MATCH(U$2,Galerias!$A$2:$A$37,0))&lt;&gt;"",$A35&gt;INDEX(Galerias!$M$2:$M$37,MATCH(U$2,Galerias!$A$2:$A$37,0))),"",ROUND(INDEX(Galerias!$N$2:$N$37,MATCH(U$2,Galerias!$A$2:$A$37,0))*INDEX(Galerias!$O$2:$O$37,MATCH(U$2,Galerias!$A$2:$A$37,0))^($A35-1),0))</f>
        <v/>
      </c>
      <c r="V35" s="43">
        <f>IF(AND(INDEX(Galerias!$M$2:$M$37,MATCH(V$2,Galerias!$A$2:$A$37,0))&lt;&gt;"",$A35&gt;INDEX(Galerias!$M$2:$M$37,MATCH(V$2,Galerias!$A$2:$A$37,0))),"",ROUND(INDEX(Galerias!$N$2:$N$37,MATCH(V$2,Galerias!$A$2:$A$37,0))*INDEX(Galerias!$O$2:$O$37,MATCH(V$2,Galerias!$A$2:$A$37,0))^($A35-1),0))</f>
        <v/>
      </c>
      <c r="W35" s="43">
        <f>IF(AND(INDEX(Galerias!$M$2:$M$37,MATCH(W$2,Galerias!$A$2:$A$37,0))&lt;&gt;"",$A35&gt;INDEX(Galerias!$M$2:$M$37,MATCH(W$2,Galerias!$A$2:$A$37,0))),"",ROUND(INDEX(Galerias!$N$2:$N$37,MATCH(W$2,Galerias!$A$2:$A$37,0))*INDEX(Galerias!$O$2:$O$37,MATCH(W$2,Galerias!$A$2:$A$37,0))^($A35-1),0))</f>
        <v/>
      </c>
      <c r="X35" s="43">
        <f>IF(AND(INDEX(Galerias!$M$2:$M$37,MATCH(X$2,Galerias!$A$2:$A$37,0))&lt;&gt;"",$A35&gt;INDEX(Galerias!$M$2:$M$37,MATCH(X$2,Galerias!$A$2:$A$37,0))),"",ROUND(INDEX(Galerias!$N$2:$N$37,MATCH(X$2,Galerias!$A$2:$A$37,0))*INDEX(Galerias!$O$2:$O$37,MATCH(X$2,Galerias!$A$2:$A$37,0))^($A35-1),0))</f>
        <v/>
      </c>
      <c r="Y35" s="43">
        <f>IF(AND(INDEX(Galerias!$M$2:$M$37,MATCH(Y$2,Galerias!$A$2:$A$37,0))&lt;&gt;"",$A35&gt;INDEX(Galerias!$M$2:$M$37,MATCH(Y$2,Galerias!$A$2:$A$37,0))),"",ROUND(INDEX(Galerias!$N$2:$N$37,MATCH(Y$2,Galerias!$A$2:$A$37,0))*INDEX(Galerias!$O$2:$O$37,MATCH(Y$2,Galerias!$A$2:$A$37,0))^($A35-1),0))</f>
        <v/>
      </c>
      <c r="Z35" s="43">
        <f>IF(AND(INDEX(Galerias!$M$2:$M$37,MATCH(Z$2,Galerias!$A$2:$A$37,0))&lt;&gt;"",$A35&gt;INDEX(Galerias!$M$2:$M$37,MATCH(Z$2,Galerias!$A$2:$A$37,0))),"",ROUND(INDEX(Galerias!$N$2:$N$37,MATCH(Z$2,Galerias!$A$2:$A$37,0))*INDEX(Galerias!$O$2:$O$37,MATCH(Z$2,Galerias!$A$2:$A$37,0))^($A35-1),0))</f>
        <v/>
      </c>
      <c r="AA35" s="43">
        <f>IF(AND(INDEX(Galerias!$M$2:$M$37,MATCH(AA$2,Galerias!$A$2:$A$37,0))&lt;&gt;"",$A35&gt;INDEX(Galerias!$M$2:$M$37,MATCH(AA$2,Galerias!$A$2:$A$37,0))),"",ROUND(INDEX(Galerias!$N$2:$N$37,MATCH(AA$2,Galerias!$A$2:$A$37,0))*INDEX(Galerias!$O$2:$O$37,MATCH(AA$2,Galerias!$A$2:$A$37,0))^($A35-1),0))</f>
        <v/>
      </c>
      <c r="AB35" s="43">
        <f>IF(AND(INDEX(Galerias!$M$2:$M$37,MATCH(AB$2,Galerias!$A$2:$A$37,0))&lt;&gt;"",$A35&gt;INDEX(Galerias!$M$2:$M$37,MATCH(AB$2,Galerias!$A$2:$A$37,0))),"",ROUND(INDEX(Galerias!$N$2:$N$37,MATCH(AB$2,Galerias!$A$2:$A$37,0))*INDEX(Galerias!$O$2:$O$37,MATCH(AB$2,Galerias!$A$2:$A$37,0))^($A35-1),0))</f>
        <v/>
      </c>
      <c r="AC35" s="43">
        <f>IF(AND(INDEX(Galerias!$M$2:$M$37,MATCH(AC$2,Galerias!$A$2:$A$37,0))&lt;&gt;"",$A35&gt;INDEX(Galerias!$M$2:$M$37,MATCH(AC$2,Galerias!$A$2:$A$37,0))),"",ROUND(INDEX(Galerias!$N$2:$N$37,MATCH(AC$2,Galerias!$A$2:$A$37,0))*INDEX(Galerias!$O$2:$O$37,MATCH(AC$2,Galerias!$A$2:$A$37,0))^($A35-1),0))</f>
        <v/>
      </c>
      <c r="AD35" s="43">
        <f>IF(AND(INDEX(Galerias!$M$2:$M$37,MATCH(AD$2,Galerias!$A$2:$A$37,0))&lt;&gt;"",$A35&gt;INDEX(Galerias!$M$2:$M$37,MATCH(AD$2,Galerias!$A$2:$A$37,0))),"",ROUND(INDEX(Galerias!$N$2:$N$37,MATCH(AD$2,Galerias!$A$2:$A$37,0))*INDEX(Galerias!$O$2:$O$37,MATCH(AD$2,Galerias!$A$2:$A$37,0))^($A35-1),0))</f>
        <v/>
      </c>
      <c r="AE35" s="43">
        <f>IF(AND(INDEX(Galerias!$M$2:$M$37,MATCH(AE$2,Galerias!$A$2:$A$37,0))&lt;&gt;"",$A35&gt;INDEX(Galerias!$M$2:$M$37,MATCH(AE$2,Galerias!$A$2:$A$37,0))),"",ROUND(INDEX(Galerias!$N$2:$N$37,MATCH(AE$2,Galerias!$A$2:$A$37,0))*INDEX(Galerias!$O$2:$O$37,MATCH(AE$2,Galerias!$A$2:$A$37,0))^($A35-1),0))</f>
        <v/>
      </c>
      <c r="AF35" s="43">
        <f>IF(AND(INDEX(Galerias!$M$2:$M$37,MATCH(AF$2,Galerias!$A$2:$A$37,0))&lt;&gt;"",$A35&gt;INDEX(Galerias!$M$2:$M$37,MATCH(AF$2,Galerias!$A$2:$A$37,0))),"",ROUND(INDEX(Galerias!$N$2:$N$37,MATCH(AF$2,Galerias!$A$2:$A$37,0))*INDEX(Galerias!$O$2:$O$37,MATCH(AF$2,Galerias!$A$2:$A$37,0))^($A35-1),0))</f>
        <v/>
      </c>
      <c r="AG35" s="43">
        <f>IF(AND(INDEX(Galerias!$M$2:$M$37,MATCH(AG$2,Galerias!$A$2:$A$37,0))&lt;&gt;"",$A35&gt;INDEX(Galerias!$M$2:$M$37,MATCH(AG$2,Galerias!$A$2:$A$37,0))),"",ROUND(INDEX(Galerias!$N$2:$N$37,MATCH(AG$2,Galerias!$A$2:$A$37,0))*INDEX(Galerias!$O$2:$O$37,MATCH(AG$2,Galerias!$A$2:$A$37,0))^($A35-1),0))</f>
        <v/>
      </c>
      <c r="AH35" s="43">
        <f>IF(AND(INDEX(Galerias!$M$2:$M$37,MATCH(AH$2,Galerias!$A$2:$A$37,0))&lt;&gt;"",$A35&gt;INDEX(Galerias!$M$2:$M$37,MATCH(AH$2,Galerias!$A$2:$A$37,0))),"",ROUND(INDEX(Galerias!$N$2:$N$37,MATCH(AH$2,Galerias!$A$2:$A$37,0))*INDEX(Galerias!$O$2:$O$37,MATCH(AH$2,Galerias!$A$2:$A$37,0))^($A35-1),0))</f>
        <v/>
      </c>
      <c r="AI35" s="43">
        <f>IF(AND(INDEX(Galerias!$M$2:$M$37,MATCH(AI$2,Galerias!$A$2:$A$37,0))&lt;&gt;"",$A35&gt;INDEX(Galerias!$M$2:$M$37,MATCH(AI$2,Galerias!$A$2:$A$37,0))),"",ROUND(INDEX(Galerias!$N$2:$N$37,MATCH(AI$2,Galerias!$A$2:$A$37,0))*INDEX(Galerias!$O$2:$O$37,MATCH(AI$2,Galerias!$A$2:$A$37,0))^($A35-1),0))</f>
        <v/>
      </c>
      <c r="AJ35" s="43">
        <f>IF(AND(INDEX(Galerias!$M$2:$M$37,MATCH(AJ$2,Galerias!$A$2:$A$37,0))&lt;&gt;"",$A35&gt;INDEX(Galerias!$M$2:$M$37,MATCH(AJ$2,Galerias!$A$2:$A$37,0))),"",ROUND(INDEX(Galerias!$N$2:$N$37,MATCH(AJ$2,Galerias!$A$2:$A$37,0))*INDEX(Galerias!$O$2:$O$37,MATCH(AJ$2,Galerias!$A$2:$A$37,0))^($A35-1),0))</f>
        <v/>
      </c>
      <c r="AK35" s="43">
        <f>IF(AND(INDEX(Galerias!$M$2:$M$37,MATCH(AK$2,Galerias!$A$2:$A$37,0))&lt;&gt;"",$A35&gt;INDEX(Galerias!$M$2:$M$37,MATCH(AK$2,Galerias!$A$2:$A$37,0))),"",ROUND(INDEX(Galerias!$N$2:$N$37,MATCH(AK$2,Galerias!$A$2:$A$37,0))*INDEX(Galerias!$O$2:$O$37,MATCH(AK$2,Galerias!$A$2:$A$37,0))^($A35-1),0))</f>
        <v/>
      </c>
    </row>
    <row r="36" ht="15" customHeight="1" s="23">
      <c r="A36" s="25" t="n">
        <v>34</v>
      </c>
      <c r="B36" s="43">
        <f>IF(AND(INDEX(Galerias!$M$2:$M$37,MATCH(B$2,Galerias!$A$2:$A$37,0))&lt;&gt;"",$A36&gt;INDEX(Galerias!$M$2:$M$37,MATCH(B$2,Galerias!$A$2:$A$37,0))),"",ROUND(INDEX(Galerias!$N$2:$N$37,MATCH(B$2,Galerias!$A$2:$A$37,0))*INDEX(Galerias!$O$2:$O$37,MATCH(B$2,Galerias!$A$2:$A$37,0))^($A36-1),0))</f>
        <v/>
      </c>
      <c r="C36" s="43">
        <f>IF(AND(INDEX(Galerias!$M$2:$M$37,MATCH(C$2,Galerias!$A$2:$A$37,0))&lt;&gt;"",$A36&gt;INDEX(Galerias!$M$2:$M$37,MATCH(C$2,Galerias!$A$2:$A$37,0))),"",ROUND(INDEX(Galerias!$N$2:$N$37,MATCH(C$2,Galerias!$A$2:$A$37,0))*INDEX(Galerias!$O$2:$O$37,MATCH(C$2,Galerias!$A$2:$A$37,0))^($A36-1),0))</f>
        <v/>
      </c>
      <c r="D36" s="43">
        <f>IF(AND(INDEX(Galerias!$M$2:$M$37,MATCH(D$2,Galerias!$A$2:$A$37,0))&lt;&gt;"",$A36&gt;INDEX(Galerias!$M$2:$M$37,MATCH(D$2,Galerias!$A$2:$A$37,0))),"",ROUND(INDEX(Galerias!$N$2:$N$37,MATCH(D$2,Galerias!$A$2:$A$37,0))*INDEX(Galerias!$O$2:$O$37,MATCH(D$2,Galerias!$A$2:$A$37,0))^($A36-1),0))</f>
        <v/>
      </c>
      <c r="E36" s="43">
        <f>IF(AND(INDEX(Galerias!$M$2:$M$37,MATCH(E$2,Galerias!$A$2:$A$37,0))&lt;&gt;"",$A36&gt;INDEX(Galerias!$M$2:$M$37,MATCH(E$2,Galerias!$A$2:$A$37,0))),"",ROUND(INDEX(Galerias!$N$2:$N$37,MATCH(E$2,Galerias!$A$2:$A$37,0))*INDEX(Galerias!$O$2:$O$37,MATCH(E$2,Galerias!$A$2:$A$37,0))^($A36-1),0))</f>
        <v/>
      </c>
      <c r="F36" s="43">
        <f>IF(AND(INDEX(Galerias!$M$2:$M$37,MATCH(F$2,Galerias!$A$2:$A$37,0))&lt;&gt;"",$A36&gt;INDEX(Galerias!$M$2:$M$37,MATCH(F$2,Galerias!$A$2:$A$37,0))),"",ROUND(INDEX(Galerias!$N$2:$N$37,MATCH(F$2,Galerias!$A$2:$A$37,0))*INDEX(Galerias!$O$2:$O$37,MATCH(F$2,Galerias!$A$2:$A$37,0))^($A36-1),0))</f>
        <v/>
      </c>
      <c r="G36" s="43">
        <f>IF(AND(INDEX(Galerias!$M$2:$M$37,MATCH(G$2,Galerias!$A$2:$A$37,0))&lt;&gt;"",$A36&gt;INDEX(Galerias!$M$2:$M$37,MATCH(G$2,Galerias!$A$2:$A$37,0))),"",ROUND(INDEX(Galerias!$N$2:$N$37,MATCH(G$2,Galerias!$A$2:$A$37,0))*INDEX(Galerias!$O$2:$O$37,MATCH(G$2,Galerias!$A$2:$A$37,0))^($A36-1),0))</f>
        <v/>
      </c>
      <c r="H36" s="43">
        <f>IF(AND(INDEX(Galerias!$M$2:$M$37,MATCH(H$2,Galerias!$A$2:$A$37,0))&lt;&gt;"",$A36&gt;INDEX(Galerias!$M$2:$M$37,MATCH(H$2,Galerias!$A$2:$A$37,0))),"",ROUND(INDEX(Galerias!$N$2:$N$37,MATCH(H$2,Galerias!$A$2:$A$37,0))*INDEX(Galerias!$O$2:$O$37,MATCH(H$2,Galerias!$A$2:$A$37,0))^($A36-1),0))</f>
        <v/>
      </c>
      <c r="I36" s="43">
        <f>IF(AND(INDEX(Galerias!$M$2:$M$37,MATCH(I$2,Galerias!$A$2:$A$37,0))&lt;&gt;"",$A36&gt;INDEX(Galerias!$M$2:$M$37,MATCH(I$2,Galerias!$A$2:$A$37,0))),"",ROUND(INDEX(Galerias!$N$2:$N$37,MATCH(I$2,Galerias!$A$2:$A$37,0))*INDEX(Galerias!$O$2:$O$37,MATCH(I$2,Galerias!$A$2:$A$37,0))^($A36-1),0))</f>
        <v/>
      </c>
      <c r="J36" s="43">
        <f>IF(AND(INDEX(Galerias!$M$2:$M$37,MATCH(J$2,Galerias!$A$2:$A$37,0))&lt;&gt;"",$A36&gt;INDEX(Galerias!$M$2:$M$37,MATCH(J$2,Galerias!$A$2:$A$37,0))),"",ROUND(INDEX(Galerias!$N$2:$N$37,MATCH(J$2,Galerias!$A$2:$A$37,0))*INDEX(Galerias!$O$2:$O$37,MATCH(J$2,Galerias!$A$2:$A$37,0))^($A36-1),0))</f>
        <v/>
      </c>
      <c r="K36" s="43">
        <f>IF(AND(INDEX(Galerias!$M$2:$M$37,MATCH(K$2,Galerias!$A$2:$A$37,0))&lt;&gt;"",$A36&gt;INDEX(Galerias!$M$2:$M$37,MATCH(K$2,Galerias!$A$2:$A$37,0))),"",ROUND(INDEX(Galerias!$N$2:$N$37,MATCH(K$2,Galerias!$A$2:$A$37,0))*INDEX(Galerias!$O$2:$O$37,MATCH(K$2,Galerias!$A$2:$A$37,0))^($A36-1),0))</f>
        <v/>
      </c>
      <c r="L36" s="43">
        <f>IF(AND(INDEX(Galerias!$M$2:$M$37,MATCH(L$2,Galerias!$A$2:$A$37,0))&lt;&gt;"",$A36&gt;INDEX(Galerias!$M$2:$M$37,MATCH(L$2,Galerias!$A$2:$A$37,0))),"",ROUND(INDEX(Galerias!$N$2:$N$37,MATCH(L$2,Galerias!$A$2:$A$37,0))*INDEX(Galerias!$O$2:$O$37,MATCH(L$2,Galerias!$A$2:$A$37,0))^($A36-1),0))</f>
        <v/>
      </c>
      <c r="M36" s="43">
        <f>IF(AND(INDEX(Galerias!$M$2:$M$37,MATCH(M$2,Galerias!$A$2:$A$37,0))&lt;&gt;"",$A36&gt;INDEX(Galerias!$M$2:$M$37,MATCH(M$2,Galerias!$A$2:$A$37,0))),"",ROUND(INDEX(Galerias!$N$2:$N$37,MATCH(M$2,Galerias!$A$2:$A$37,0))*INDEX(Galerias!$O$2:$O$37,MATCH(M$2,Galerias!$A$2:$A$37,0))^($A36-1),0))</f>
        <v/>
      </c>
      <c r="N36" s="43">
        <f>IF(AND(INDEX(Galerias!$M$2:$M$37,MATCH(N$2,Galerias!$A$2:$A$37,0))&lt;&gt;"",$A36&gt;INDEX(Galerias!$M$2:$M$37,MATCH(N$2,Galerias!$A$2:$A$37,0))),"",ROUND(INDEX(Galerias!$N$2:$N$37,MATCH(N$2,Galerias!$A$2:$A$37,0))*INDEX(Galerias!$O$2:$O$37,MATCH(N$2,Galerias!$A$2:$A$37,0))^($A36-1),0))</f>
        <v/>
      </c>
      <c r="O36" s="43">
        <f>IF(AND(INDEX(Galerias!$M$2:$M$37,MATCH(O$2,Galerias!$A$2:$A$37,0))&lt;&gt;"",$A36&gt;INDEX(Galerias!$M$2:$M$37,MATCH(O$2,Galerias!$A$2:$A$37,0))),"",ROUND(INDEX(Galerias!$N$2:$N$37,MATCH(O$2,Galerias!$A$2:$A$37,0))*INDEX(Galerias!$O$2:$O$37,MATCH(O$2,Galerias!$A$2:$A$37,0))^($A36-1),0))</f>
        <v/>
      </c>
      <c r="P36" s="43">
        <f>IF(AND(INDEX(Galerias!$M$2:$M$37,MATCH(P$2,Galerias!$A$2:$A$37,0))&lt;&gt;"",$A36&gt;INDEX(Galerias!$M$2:$M$37,MATCH(P$2,Galerias!$A$2:$A$37,0))),"",ROUND(INDEX(Galerias!$N$2:$N$37,MATCH(P$2,Galerias!$A$2:$A$37,0))*INDEX(Galerias!$O$2:$O$37,MATCH(P$2,Galerias!$A$2:$A$37,0))^($A36-1),0))</f>
        <v/>
      </c>
      <c r="Q36" s="43">
        <f>IF(AND(INDEX(Galerias!$M$2:$M$37,MATCH(Q$2,Galerias!$A$2:$A$37,0))&lt;&gt;"",$A36&gt;INDEX(Galerias!$M$2:$M$37,MATCH(Q$2,Galerias!$A$2:$A$37,0))),"",ROUND(INDEX(Galerias!$N$2:$N$37,MATCH(Q$2,Galerias!$A$2:$A$37,0))*INDEX(Galerias!$O$2:$O$37,MATCH(Q$2,Galerias!$A$2:$A$37,0))^($A36-1),0))</f>
        <v/>
      </c>
      <c r="R36" s="43">
        <f>IF(AND(INDEX(Galerias!$M$2:$M$37,MATCH(R$2,Galerias!$A$2:$A$37,0))&lt;&gt;"",$A36&gt;INDEX(Galerias!$M$2:$M$37,MATCH(R$2,Galerias!$A$2:$A$37,0))),"",ROUND(INDEX(Galerias!$N$2:$N$37,MATCH(R$2,Galerias!$A$2:$A$37,0))*INDEX(Galerias!$O$2:$O$37,MATCH(R$2,Galerias!$A$2:$A$37,0))^($A36-1),0))</f>
        <v/>
      </c>
      <c r="S36" s="43">
        <f>IF(AND(INDEX(Galerias!$M$2:$M$37,MATCH(S$2,Galerias!$A$2:$A$37,0))&lt;&gt;"",$A36&gt;INDEX(Galerias!$M$2:$M$37,MATCH(S$2,Galerias!$A$2:$A$37,0))),"",ROUND(INDEX(Galerias!$N$2:$N$37,MATCH(S$2,Galerias!$A$2:$A$37,0))*INDEX(Galerias!$O$2:$O$37,MATCH(S$2,Galerias!$A$2:$A$37,0))^($A36-1),0))</f>
        <v/>
      </c>
      <c r="T36" s="43">
        <f>IF(AND(INDEX(Galerias!$M$2:$M$37,MATCH(T$2,Galerias!$A$2:$A$37,0))&lt;&gt;"",$A36&gt;INDEX(Galerias!$M$2:$M$37,MATCH(T$2,Galerias!$A$2:$A$37,0))),"",ROUND(INDEX(Galerias!$N$2:$N$37,MATCH(T$2,Galerias!$A$2:$A$37,0))*INDEX(Galerias!$O$2:$O$37,MATCH(T$2,Galerias!$A$2:$A$37,0))^($A36-1),0))</f>
        <v/>
      </c>
      <c r="U36" s="43">
        <f>IF(AND(INDEX(Galerias!$M$2:$M$37,MATCH(U$2,Galerias!$A$2:$A$37,0))&lt;&gt;"",$A36&gt;INDEX(Galerias!$M$2:$M$37,MATCH(U$2,Galerias!$A$2:$A$37,0))),"",ROUND(INDEX(Galerias!$N$2:$N$37,MATCH(U$2,Galerias!$A$2:$A$37,0))*INDEX(Galerias!$O$2:$O$37,MATCH(U$2,Galerias!$A$2:$A$37,0))^($A36-1),0))</f>
        <v/>
      </c>
      <c r="V36" s="43">
        <f>IF(AND(INDEX(Galerias!$M$2:$M$37,MATCH(V$2,Galerias!$A$2:$A$37,0))&lt;&gt;"",$A36&gt;INDEX(Galerias!$M$2:$M$37,MATCH(V$2,Galerias!$A$2:$A$37,0))),"",ROUND(INDEX(Galerias!$N$2:$N$37,MATCH(V$2,Galerias!$A$2:$A$37,0))*INDEX(Galerias!$O$2:$O$37,MATCH(V$2,Galerias!$A$2:$A$37,0))^($A36-1),0))</f>
        <v/>
      </c>
      <c r="W36" s="43">
        <f>IF(AND(INDEX(Galerias!$M$2:$M$37,MATCH(W$2,Galerias!$A$2:$A$37,0))&lt;&gt;"",$A36&gt;INDEX(Galerias!$M$2:$M$37,MATCH(W$2,Galerias!$A$2:$A$37,0))),"",ROUND(INDEX(Galerias!$N$2:$N$37,MATCH(W$2,Galerias!$A$2:$A$37,0))*INDEX(Galerias!$O$2:$O$37,MATCH(W$2,Galerias!$A$2:$A$37,0))^($A36-1),0))</f>
        <v/>
      </c>
      <c r="X36" s="43">
        <f>IF(AND(INDEX(Galerias!$M$2:$M$37,MATCH(X$2,Galerias!$A$2:$A$37,0))&lt;&gt;"",$A36&gt;INDEX(Galerias!$M$2:$M$37,MATCH(X$2,Galerias!$A$2:$A$37,0))),"",ROUND(INDEX(Galerias!$N$2:$N$37,MATCH(X$2,Galerias!$A$2:$A$37,0))*INDEX(Galerias!$O$2:$O$37,MATCH(X$2,Galerias!$A$2:$A$37,0))^($A36-1),0))</f>
        <v/>
      </c>
      <c r="Y36" s="43">
        <f>IF(AND(INDEX(Galerias!$M$2:$M$37,MATCH(Y$2,Galerias!$A$2:$A$37,0))&lt;&gt;"",$A36&gt;INDEX(Galerias!$M$2:$M$37,MATCH(Y$2,Galerias!$A$2:$A$37,0))),"",ROUND(INDEX(Galerias!$N$2:$N$37,MATCH(Y$2,Galerias!$A$2:$A$37,0))*INDEX(Galerias!$O$2:$O$37,MATCH(Y$2,Galerias!$A$2:$A$37,0))^($A36-1),0))</f>
        <v/>
      </c>
      <c r="Z36" s="43">
        <f>IF(AND(INDEX(Galerias!$M$2:$M$37,MATCH(Z$2,Galerias!$A$2:$A$37,0))&lt;&gt;"",$A36&gt;INDEX(Galerias!$M$2:$M$37,MATCH(Z$2,Galerias!$A$2:$A$37,0))),"",ROUND(INDEX(Galerias!$N$2:$N$37,MATCH(Z$2,Galerias!$A$2:$A$37,0))*INDEX(Galerias!$O$2:$O$37,MATCH(Z$2,Galerias!$A$2:$A$37,0))^($A36-1),0))</f>
        <v/>
      </c>
      <c r="AA36" s="43">
        <f>IF(AND(INDEX(Galerias!$M$2:$M$37,MATCH(AA$2,Galerias!$A$2:$A$37,0))&lt;&gt;"",$A36&gt;INDEX(Galerias!$M$2:$M$37,MATCH(AA$2,Galerias!$A$2:$A$37,0))),"",ROUND(INDEX(Galerias!$N$2:$N$37,MATCH(AA$2,Galerias!$A$2:$A$37,0))*INDEX(Galerias!$O$2:$O$37,MATCH(AA$2,Galerias!$A$2:$A$37,0))^($A36-1),0))</f>
        <v/>
      </c>
      <c r="AB36" s="43">
        <f>IF(AND(INDEX(Galerias!$M$2:$M$37,MATCH(AB$2,Galerias!$A$2:$A$37,0))&lt;&gt;"",$A36&gt;INDEX(Galerias!$M$2:$M$37,MATCH(AB$2,Galerias!$A$2:$A$37,0))),"",ROUND(INDEX(Galerias!$N$2:$N$37,MATCH(AB$2,Galerias!$A$2:$A$37,0))*INDEX(Galerias!$O$2:$O$37,MATCH(AB$2,Galerias!$A$2:$A$37,0))^($A36-1),0))</f>
        <v/>
      </c>
      <c r="AC36" s="43">
        <f>IF(AND(INDEX(Galerias!$M$2:$M$37,MATCH(AC$2,Galerias!$A$2:$A$37,0))&lt;&gt;"",$A36&gt;INDEX(Galerias!$M$2:$M$37,MATCH(AC$2,Galerias!$A$2:$A$37,0))),"",ROUND(INDEX(Galerias!$N$2:$N$37,MATCH(AC$2,Galerias!$A$2:$A$37,0))*INDEX(Galerias!$O$2:$O$37,MATCH(AC$2,Galerias!$A$2:$A$37,0))^($A36-1),0))</f>
        <v/>
      </c>
      <c r="AD36" s="43">
        <f>IF(AND(INDEX(Galerias!$M$2:$M$37,MATCH(AD$2,Galerias!$A$2:$A$37,0))&lt;&gt;"",$A36&gt;INDEX(Galerias!$M$2:$M$37,MATCH(AD$2,Galerias!$A$2:$A$37,0))),"",ROUND(INDEX(Galerias!$N$2:$N$37,MATCH(AD$2,Galerias!$A$2:$A$37,0))*INDEX(Galerias!$O$2:$O$37,MATCH(AD$2,Galerias!$A$2:$A$37,0))^($A36-1),0))</f>
        <v/>
      </c>
      <c r="AE36" s="43">
        <f>IF(AND(INDEX(Galerias!$M$2:$M$37,MATCH(AE$2,Galerias!$A$2:$A$37,0))&lt;&gt;"",$A36&gt;INDEX(Galerias!$M$2:$M$37,MATCH(AE$2,Galerias!$A$2:$A$37,0))),"",ROUND(INDEX(Galerias!$N$2:$N$37,MATCH(AE$2,Galerias!$A$2:$A$37,0))*INDEX(Galerias!$O$2:$O$37,MATCH(AE$2,Galerias!$A$2:$A$37,0))^($A36-1),0))</f>
        <v/>
      </c>
      <c r="AF36" s="43">
        <f>IF(AND(INDEX(Galerias!$M$2:$M$37,MATCH(AF$2,Galerias!$A$2:$A$37,0))&lt;&gt;"",$A36&gt;INDEX(Galerias!$M$2:$M$37,MATCH(AF$2,Galerias!$A$2:$A$37,0))),"",ROUND(INDEX(Galerias!$N$2:$N$37,MATCH(AF$2,Galerias!$A$2:$A$37,0))*INDEX(Galerias!$O$2:$O$37,MATCH(AF$2,Galerias!$A$2:$A$37,0))^($A36-1),0))</f>
        <v/>
      </c>
      <c r="AG36" s="43">
        <f>IF(AND(INDEX(Galerias!$M$2:$M$37,MATCH(AG$2,Galerias!$A$2:$A$37,0))&lt;&gt;"",$A36&gt;INDEX(Galerias!$M$2:$M$37,MATCH(AG$2,Galerias!$A$2:$A$37,0))),"",ROUND(INDEX(Galerias!$N$2:$N$37,MATCH(AG$2,Galerias!$A$2:$A$37,0))*INDEX(Galerias!$O$2:$O$37,MATCH(AG$2,Galerias!$A$2:$A$37,0))^($A36-1),0))</f>
        <v/>
      </c>
      <c r="AH36" s="43">
        <f>IF(AND(INDEX(Galerias!$M$2:$M$37,MATCH(AH$2,Galerias!$A$2:$A$37,0))&lt;&gt;"",$A36&gt;INDEX(Galerias!$M$2:$M$37,MATCH(AH$2,Galerias!$A$2:$A$37,0))),"",ROUND(INDEX(Galerias!$N$2:$N$37,MATCH(AH$2,Galerias!$A$2:$A$37,0))*INDEX(Galerias!$O$2:$O$37,MATCH(AH$2,Galerias!$A$2:$A$37,0))^($A36-1),0))</f>
        <v/>
      </c>
      <c r="AI36" s="43">
        <f>IF(AND(INDEX(Galerias!$M$2:$M$37,MATCH(AI$2,Galerias!$A$2:$A$37,0))&lt;&gt;"",$A36&gt;INDEX(Galerias!$M$2:$M$37,MATCH(AI$2,Galerias!$A$2:$A$37,0))),"",ROUND(INDEX(Galerias!$N$2:$N$37,MATCH(AI$2,Galerias!$A$2:$A$37,0))*INDEX(Galerias!$O$2:$O$37,MATCH(AI$2,Galerias!$A$2:$A$37,0))^($A36-1),0))</f>
        <v/>
      </c>
      <c r="AJ36" s="43">
        <f>IF(AND(INDEX(Galerias!$M$2:$M$37,MATCH(AJ$2,Galerias!$A$2:$A$37,0))&lt;&gt;"",$A36&gt;INDEX(Galerias!$M$2:$M$37,MATCH(AJ$2,Galerias!$A$2:$A$37,0))),"",ROUND(INDEX(Galerias!$N$2:$N$37,MATCH(AJ$2,Galerias!$A$2:$A$37,0))*INDEX(Galerias!$O$2:$O$37,MATCH(AJ$2,Galerias!$A$2:$A$37,0))^($A36-1),0))</f>
        <v/>
      </c>
      <c r="AK36" s="43">
        <f>IF(AND(INDEX(Galerias!$M$2:$M$37,MATCH(AK$2,Galerias!$A$2:$A$37,0))&lt;&gt;"",$A36&gt;INDEX(Galerias!$M$2:$M$37,MATCH(AK$2,Galerias!$A$2:$A$37,0))),"",ROUND(INDEX(Galerias!$N$2:$N$37,MATCH(AK$2,Galerias!$A$2:$A$37,0))*INDEX(Galerias!$O$2:$O$37,MATCH(AK$2,Galerias!$A$2:$A$37,0))^($A36-1),0))</f>
        <v/>
      </c>
    </row>
    <row r="37" ht="15" customHeight="1" s="23">
      <c r="A37" s="25" t="n">
        <v>35</v>
      </c>
      <c r="B37" s="43">
        <f>IF(AND(INDEX(Galerias!$M$2:$M$37,MATCH(B$2,Galerias!$A$2:$A$37,0))&lt;&gt;"",$A37&gt;INDEX(Galerias!$M$2:$M$37,MATCH(B$2,Galerias!$A$2:$A$37,0))),"",ROUND(INDEX(Galerias!$N$2:$N$37,MATCH(B$2,Galerias!$A$2:$A$37,0))*INDEX(Galerias!$O$2:$O$37,MATCH(B$2,Galerias!$A$2:$A$37,0))^($A37-1),0))</f>
        <v/>
      </c>
      <c r="C37" s="43">
        <f>IF(AND(INDEX(Galerias!$M$2:$M$37,MATCH(C$2,Galerias!$A$2:$A$37,0))&lt;&gt;"",$A37&gt;INDEX(Galerias!$M$2:$M$37,MATCH(C$2,Galerias!$A$2:$A$37,0))),"",ROUND(INDEX(Galerias!$N$2:$N$37,MATCH(C$2,Galerias!$A$2:$A$37,0))*INDEX(Galerias!$O$2:$O$37,MATCH(C$2,Galerias!$A$2:$A$37,0))^($A37-1),0))</f>
        <v/>
      </c>
      <c r="D37" s="43">
        <f>IF(AND(INDEX(Galerias!$M$2:$M$37,MATCH(D$2,Galerias!$A$2:$A$37,0))&lt;&gt;"",$A37&gt;INDEX(Galerias!$M$2:$M$37,MATCH(D$2,Galerias!$A$2:$A$37,0))),"",ROUND(INDEX(Galerias!$N$2:$N$37,MATCH(D$2,Galerias!$A$2:$A$37,0))*INDEX(Galerias!$O$2:$O$37,MATCH(D$2,Galerias!$A$2:$A$37,0))^($A37-1),0))</f>
        <v/>
      </c>
      <c r="E37" s="43">
        <f>IF(AND(INDEX(Galerias!$M$2:$M$37,MATCH(E$2,Galerias!$A$2:$A$37,0))&lt;&gt;"",$A37&gt;INDEX(Galerias!$M$2:$M$37,MATCH(E$2,Galerias!$A$2:$A$37,0))),"",ROUND(INDEX(Galerias!$N$2:$N$37,MATCH(E$2,Galerias!$A$2:$A$37,0))*INDEX(Galerias!$O$2:$O$37,MATCH(E$2,Galerias!$A$2:$A$37,0))^($A37-1),0))</f>
        <v/>
      </c>
      <c r="F37" s="43">
        <f>IF(AND(INDEX(Galerias!$M$2:$M$37,MATCH(F$2,Galerias!$A$2:$A$37,0))&lt;&gt;"",$A37&gt;INDEX(Galerias!$M$2:$M$37,MATCH(F$2,Galerias!$A$2:$A$37,0))),"",ROUND(INDEX(Galerias!$N$2:$N$37,MATCH(F$2,Galerias!$A$2:$A$37,0))*INDEX(Galerias!$O$2:$O$37,MATCH(F$2,Galerias!$A$2:$A$37,0))^($A37-1),0))</f>
        <v/>
      </c>
      <c r="G37" s="43">
        <f>IF(AND(INDEX(Galerias!$M$2:$M$37,MATCH(G$2,Galerias!$A$2:$A$37,0))&lt;&gt;"",$A37&gt;INDEX(Galerias!$M$2:$M$37,MATCH(G$2,Galerias!$A$2:$A$37,0))),"",ROUND(INDEX(Galerias!$N$2:$N$37,MATCH(G$2,Galerias!$A$2:$A$37,0))*INDEX(Galerias!$O$2:$O$37,MATCH(G$2,Galerias!$A$2:$A$37,0))^($A37-1),0))</f>
        <v/>
      </c>
      <c r="H37" s="43">
        <f>IF(AND(INDEX(Galerias!$M$2:$M$37,MATCH(H$2,Galerias!$A$2:$A$37,0))&lt;&gt;"",$A37&gt;INDEX(Galerias!$M$2:$M$37,MATCH(H$2,Galerias!$A$2:$A$37,0))),"",ROUND(INDEX(Galerias!$N$2:$N$37,MATCH(H$2,Galerias!$A$2:$A$37,0))*INDEX(Galerias!$O$2:$O$37,MATCH(H$2,Galerias!$A$2:$A$37,0))^($A37-1),0))</f>
        <v/>
      </c>
      <c r="I37" s="43">
        <f>IF(AND(INDEX(Galerias!$M$2:$M$37,MATCH(I$2,Galerias!$A$2:$A$37,0))&lt;&gt;"",$A37&gt;INDEX(Galerias!$M$2:$M$37,MATCH(I$2,Galerias!$A$2:$A$37,0))),"",ROUND(INDEX(Galerias!$N$2:$N$37,MATCH(I$2,Galerias!$A$2:$A$37,0))*INDEX(Galerias!$O$2:$O$37,MATCH(I$2,Galerias!$A$2:$A$37,0))^($A37-1),0))</f>
        <v/>
      </c>
      <c r="J37" s="43">
        <f>IF(AND(INDEX(Galerias!$M$2:$M$37,MATCH(J$2,Galerias!$A$2:$A$37,0))&lt;&gt;"",$A37&gt;INDEX(Galerias!$M$2:$M$37,MATCH(J$2,Galerias!$A$2:$A$37,0))),"",ROUND(INDEX(Galerias!$N$2:$N$37,MATCH(J$2,Galerias!$A$2:$A$37,0))*INDEX(Galerias!$O$2:$O$37,MATCH(J$2,Galerias!$A$2:$A$37,0))^($A37-1),0))</f>
        <v/>
      </c>
      <c r="K37" s="43">
        <f>IF(AND(INDEX(Galerias!$M$2:$M$37,MATCH(K$2,Galerias!$A$2:$A$37,0))&lt;&gt;"",$A37&gt;INDEX(Galerias!$M$2:$M$37,MATCH(K$2,Galerias!$A$2:$A$37,0))),"",ROUND(INDEX(Galerias!$N$2:$N$37,MATCH(K$2,Galerias!$A$2:$A$37,0))*INDEX(Galerias!$O$2:$O$37,MATCH(K$2,Galerias!$A$2:$A$37,0))^($A37-1),0))</f>
        <v/>
      </c>
      <c r="L37" s="43">
        <f>IF(AND(INDEX(Galerias!$M$2:$M$37,MATCH(L$2,Galerias!$A$2:$A$37,0))&lt;&gt;"",$A37&gt;INDEX(Galerias!$M$2:$M$37,MATCH(L$2,Galerias!$A$2:$A$37,0))),"",ROUND(INDEX(Galerias!$N$2:$N$37,MATCH(L$2,Galerias!$A$2:$A$37,0))*INDEX(Galerias!$O$2:$O$37,MATCH(L$2,Galerias!$A$2:$A$37,0))^($A37-1),0))</f>
        <v/>
      </c>
      <c r="M37" s="43">
        <f>IF(AND(INDEX(Galerias!$M$2:$M$37,MATCH(M$2,Galerias!$A$2:$A$37,0))&lt;&gt;"",$A37&gt;INDEX(Galerias!$M$2:$M$37,MATCH(M$2,Galerias!$A$2:$A$37,0))),"",ROUND(INDEX(Galerias!$N$2:$N$37,MATCH(M$2,Galerias!$A$2:$A$37,0))*INDEX(Galerias!$O$2:$O$37,MATCH(M$2,Galerias!$A$2:$A$37,0))^($A37-1),0))</f>
        <v/>
      </c>
      <c r="N37" s="43">
        <f>IF(AND(INDEX(Galerias!$M$2:$M$37,MATCH(N$2,Galerias!$A$2:$A$37,0))&lt;&gt;"",$A37&gt;INDEX(Galerias!$M$2:$M$37,MATCH(N$2,Galerias!$A$2:$A$37,0))),"",ROUND(INDEX(Galerias!$N$2:$N$37,MATCH(N$2,Galerias!$A$2:$A$37,0))*INDEX(Galerias!$O$2:$O$37,MATCH(N$2,Galerias!$A$2:$A$37,0))^($A37-1),0))</f>
        <v/>
      </c>
      <c r="O37" s="43">
        <f>IF(AND(INDEX(Galerias!$M$2:$M$37,MATCH(O$2,Galerias!$A$2:$A$37,0))&lt;&gt;"",$A37&gt;INDEX(Galerias!$M$2:$M$37,MATCH(O$2,Galerias!$A$2:$A$37,0))),"",ROUND(INDEX(Galerias!$N$2:$N$37,MATCH(O$2,Galerias!$A$2:$A$37,0))*INDEX(Galerias!$O$2:$O$37,MATCH(O$2,Galerias!$A$2:$A$37,0))^($A37-1),0))</f>
        <v/>
      </c>
      <c r="P37" s="43">
        <f>IF(AND(INDEX(Galerias!$M$2:$M$37,MATCH(P$2,Galerias!$A$2:$A$37,0))&lt;&gt;"",$A37&gt;INDEX(Galerias!$M$2:$M$37,MATCH(P$2,Galerias!$A$2:$A$37,0))),"",ROUND(INDEX(Galerias!$N$2:$N$37,MATCH(P$2,Galerias!$A$2:$A$37,0))*INDEX(Galerias!$O$2:$O$37,MATCH(P$2,Galerias!$A$2:$A$37,0))^($A37-1),0))</f>
        <v/>
      </c>
      <c r="Q37" s="43">
        <f>IF(AND(INDEX(Galerias!$M$2:$M$37,MATCH(Q$2,Galerias!$A$2:$A$37,0))&lt;&gt;"",$A37&gt;INDEX(Galerias!$M$2:$M$37,MATCH(Q$2,Galerias!$A$2:$A$37,0))),"",ROUND(INDEX(Galerias!$N$2:$N$37,MATCH(Q$2,Galerias!$A$2:$A$37,0))*INDEX(Galerias!$O$2:$O$37,MATCH(Q$2,Galerias!$A$2:$A$37,0))^($A37-1),0))</f>
        <v/>
      </c>
      <c r="R37" s="43">
        <f>IF(AND(INDEX(Galerias!$M$2:$M$37,MATCH(R$2,Galerias!$A$2:$A$37,0))&lt;&gt;"",$A37&gt;INDEX(Galerias!$M$2:$M$37,MATCH(R$2,Galerias!$A$2:$A$37,0))),"",ROUND(INDEX(Galerias!$N$2:$N$37,MATCH(R$2,Galerias!$A$2:$A$37,0))*INDEX(Galerias!$O$2:$O$37,MATCH(R$2,Galerias!$A$2:$A$37,0))^($A37-1),0))</f>
        <v/>
      </c>
      <c r="S37" s="43">
        <f>IF(AND(INDEX(Galerias!$M$2:$M$37,MATCH(S$2,Galerias!$A$2:$A$37,0))&lt;&gt;"",$A37&gt;INDEX(Galerias!$M$2:$M$37,MATCH(S$2,Galerias!$A$2:$A$37,0))),"",ROUND(INDEX(Galerias!$N$2:$N$37,MATCH(S$2,Galerias!$A$2:$A$37,0))*INDEX(Galerias!$O$2:$O$37,MATCH(S$2,Galerias!$A$2:$A$37,0))^($A37-1),0))</f>
        <v/>
      </c>
      <c r="T37" s="43">
        <f>IF(AND(INDEX(Galerias!$M$2:$M$37,MATCH(T$2,Galerias!$A$2:$A$37,0))&lt;&gt;"",$A37&gt;INDEX(Galerias!$M$2:$M$37,MATCH(T$2,Galerias!$A$2:$A$37,0))),"",ROUND(INDEX(Galerias!$N$2:$N$37,MATCH(T$2,Galerias!$A$2:$A$37,0))*INDEX(Galerias!$O$2:$O$37,MATCH(T$2,Galerias!$A$2:$A$37,0))^($A37-1),0))</f>
        <v/>
      </c>
      <c r="U37" s="43">
        <f>IF(AND(INDEX(Galerias!$M$2:$M$37,MATCH(U$2,Galerias!$A$2:$A$37,0))&lt;&gt;"",$A37&gt;INDEX(Galerias!$M$2:$M$37,MATCH(U$2,Galerias!$A$2:$A$37,0))),"",ROUND(INDEX(Galerias!$N$2:$N$37,MATCH(U$2,Galerias!$A$2:$A$37,0))*INDEX(Galerias!$O$2:$O$37,MATCH(U$2,Galerias!$A$2:$A$37,0))^($A37-1),0))</f>
        <v/>
      </c>
      <c r="V37" s="43">
        <f>IF(AND(INDEX(Galerias!$M$2:$M$37,MATCH(V$2,Galerias!$A$2:$A$37,0))&lt;&gt;"",$A37&gt;INDEX(Galerias!$M$2:$M$37,MATCH(V$2,Galerias!$A$2:$A$37,0))),"",ROUND(INDEX(Galerias!$N$2:$N$37,MATCH(V$2,Galerias!$A$2:$A$37,0))*INDEX(Galerias!$O$2:$O$37,MATCH(V$2,Galerias!$A$2:$A$37,0))^($A37-1),0))</f>
        <v/>
      </c>
      <c r="W37" s="43">
        <f>IF(AND(INDEX(Galerias!$M$2:$M$37,MATCH(W$2,Galerias!$A$2:$A$37,0))&lt;&gt;"",$A37&gt;INDEX(Galerias!$M$2:$M$37,MATCH(W$2,Galerias!$A$2:$A$37,0))),"",ROUND(INDEX(Galerias!$N$2:$N$37,MATCH(W$2,Galerias!$A$2:$A$37,0))*INDEX(Galerias!$O$2:$O$37,MATCH(W$2,Galerias!$A$2:$A$37,0))^($A37-1),0))</f>
        <v/>
      </c>
      <c r="X37" s="43">
        <f>IF(AND(INDEX(Galerias!$M$2:$M$37,MATCH(X$2,Galerias!$A$2:$A$37,0))&lt;&gt;"",$A37&gt;INDEX(Galerias!$M$2:$M$37,MATCH(X$2,Galerias!$A$2:$A$37,0))),"",ROUND(INDEX(Galerias!$N$2:$N$37,MATCH(X$2,Galerias!$A$2:$A$37,0))*INDEX(Galerias!$O$2:$O$37,MATCH(X$2,Galerias!$A$2:$A$37,0))^($A37-1),0))</f>
        <v/>
      </c>
      <c r="Y37" s="43">
        <f>IF(AND(INDEX(Galerias!$M$2:$M$37,MATCH(Y$2,Galerias!$A$2:$A$37,0))&lt;&gt;"",$A37&gt;INDEX(Galerias!$M$2:$M$37,MATCH(Y$2,Galerias!$A$2:$A$37,0))),"",ROUND(INDEX(Galerias!$N$2:$N$37,MATCH(Y$2,Galerias!$A$2:$A$37,0))*INDEX(Galerias!$O$2:$O$37,MATCH(Y$2,Galerias!$A$2:$A$37,0))^($A37-1),0))</f>
        <v/>
      </c>
      <c r="Z37" s="43">
        <f>IF(AND(INDEX(Galerias!$M$2:$M$37,MATCH(Z$2,Galerias!$A$2:$A$37,0))&lt;&gt;"",$A37&gt;INDEX(Galerias!$M$2:$M$37,MATCH(Z$2,Galerias!$A$2:$A$37,0))),"",ROUND(INDEX(Galerias!$N$2:$N$37,MATCH(Z$2,Galerias!$A$2:$A$37,0))*INDEX(Galerias!$O$2:$O$37,MATCH(Z$2,Galerias!$A$2:$A$37,0))^($A37-1),0))</f>
        <v/>
      </c>
      <c r="AA37" s="43">
        <f>IF(AND(INDEX(Galerias!$M$2:$M$37,MATCH(AA$2,Galerias!$A$2:$A$37,0))&lt;&gt;"",$A37&gt;INDEX(Galerias!$M$2:$M$37,MATCH(AA$2,Galerias!$A$2:$A$37,0))),"",ROUND(INDEX(Galerias!$N$2:$N$37,MATCH(AA$2,Galerias!$A$2:$A$37,0))*INDEX(Galerias!$O$2:$O$37,MATCH(AA$2,Galerias!$A$2:$A$37,0))^($A37-1),0))</f>
        <v/>
      </c>
      <c r="AB37" s="43">
        <f>IF(AND(INDEX(Galerias!$M$2:$M$37,MATCH(AB$2,Galerias!$A$2:$A$37,0))&lt;&gt;"",$A37&gt;INDEX(Galerias!$M$2:$M$37,MATCH(AB$2,Galerias!$A$2:$A$37,0))),"",ROUND(INDEX(Galerias!$N$2:$N$37,MATCH(AB$2,Galerias!$A$2:$A$37,0))*INDEX(Galerias!$O$2:$O$37,MATCH(AB$2,Galerias!$A$2:$A$37,0))^($A37-1),0))</f>
        <v/>
      </c>
      <c r="AC37" s="43">
        <f>IF(AND(INDEX(Galerias!$M$2:$M$37,MATCH(AC$2,Galerias!$A$2:$A$37,0))&lt;&gt;"",$A37&gt;INDEX(Galerias!$M$2:$M$37,MATCH(AC$2,Galerias!$A$2:$A$37,0))),"",ROUND(INDEX(Galerias!$N$2:$N$37,MATCH(AC$2,Galerias!$A$2:$A$37,0))*INDEX(Galerias!$O$2:$O$37,MATCH(AC$2,Galerias!$A$2:$A$37,0))^($A37-1),0))</f>
        <v/>
      </c>
      <c r="AD37" s="43">
        <f>IF(AND(INDEX(Galerias!$M$2:$M$37,MATCH(AD$2,Galerias!$A$2:$A$37,0))&lt;&gt;"",$A37&gt;INDEX(Galerias!$M$2:$M$37,MATCH(AD$2,Galerias!$A$2:$A$37,0))),"",ROUND(INDEX(Galerias!$N$2:$N$37,MATCH(AD$2,Galerias!$A$2:$A$37,0))*INDEX(Galerias!$O$2:$O$37,MATCH(AD$2,Galerias!$A$2:$A$37,0))^($A37-1),0))</f>
        <v/>
      </c>
      <c r="AE37" s="43">
        <f>IF(AND(INDEX(Galerias!$M$2:$M$37,MATCH(AE$2,Galerias!$A$2:$A$37,0))&lt;&gt;"",$A37&gt;INDEX(Galerias!$M$2:$M$37,MATCH(AE$2,Galerias!$A$2:$A$37,0))),"",ROUND(INDEX(Galerias!$N$2:$N$37,MATCH(AE$2,Galerias!$A$2:$A$37,0))*INDEX(Galerias!$O$2:$O$37,MATCH(AE$2,Galerias!$A$2:$A$37,0))^($A37-1),0))</f>
        <v/>
      </c>
      <c r="AF37" s="43">
        <f>IF(AND(INDEX(Galerias!$M$2:$M$37,MATCH(AF$2,Galerias!$A$2:$A$37,0))&lt;&gt;"",$A37&gt;INDEX(Galerias!$M$2:$M$37,MATCH(AF$2,Galerias!$A$2:$A$37,0))),"",ROUND(INDEX(Galerias!$N$2:$N$37,MATCH(AF$2,Galerias!$A$2:$A$37,0))*INDEX(Galerias!$O$2:$O$37,MATCH(AF$2,Galerias!$A$2:$A$37,0))^($A37-1),0))</f>
        <v/>
      </c>
      <c r="AG37" s="43">
        <f>IF(AND(INDEX(Galerias!$M$2:$M$37,MATCH(AG$2,Galerias!$A$2:$A$37,0))&lt;&gt;"",$A37&gt;INDEX(Galerias!$M$2:$M$37,MATCH(AG$2,Galerias!$A$2:$A$37,0))),"",ROUND(INDEX(Galerias!$N$2:$N$37,MATCH(AG$2,Galerias!$A$2:$A$37,0))*INDEX(Galerias!$O$2:$O$37,MATCH(AG$2,Galerias!$A$2:$A$37,0))^($A37-1),0))</f>
        <v/>
      </c>
      <c r="AH37" s="43">
        <f>IF(AND(INDEX(Galerias!$M$2:$M$37,MATCH(AH$2,Galerias!$A$2:$A$37,0))&lt;&gt;"",$A37&gt;INDEX(Galerias!$M$2:$M$37,MATCH(AH$2,Galerias!$A$2:$A$37,0))),"",ROUND(INDEX(Galerias!$N$2:$N$37,MATCH(AH$2,Galerias!$A$2:$A$37,0))*INDEX(Galerias!$O$2:$O$37,MATCH(AH$2,Galerias!$A$2:$A$37,0))^($A37-1),0))</f>
        <v/>
      </c>
      <c r="AI37" s="43">
        <f>IF(AND(INDEX(Galerias!$M$2:$M$37,MATCH(AI$2,Galerias!$A$2:$A$37,0))&lt;&gt;"",$A37&gt;INDEX(Galerias!$M$2:$M$37,MATCH(AI$2,Galerias!$A$2:$A$37,0))),"",ROUND(INDEX(Galerias!$N$2:$N$37,MATCH(AI$2,Galerias!$A$2:$A$37,0))*INDEX(Galerias!$O$2:$O$37,MATCH(AI$2,Galerias!$A$2:$A$37,0))^($A37-1),0))</f>
        <v/>
      </c>
      <c r="AJ37" s="43">
        <f>IF(AND(INDEX(Galerias!$M$2:$M$37,MATCH(AJ$2,Galerias!$A$2:$A$37,0))&lt;&gt;"",$A37&gt;INDEX(Galerias!$M$2:$M$37,MATCH(AJ$2,Galerias!$A$2:$A$37,0))),"",ROUND(INDEX(Galerias!$N$2:$N$37,MATCH(AJ$2,Galerias!$A$2:$A$37,0))*INDEX(Galerias!$O$2:$O$37,MATCH(AJ$2,Galerias!$A$2:$A$37,0))^($A37-1),0))</f>
        <v/>
      </c>
      <c r="AK37" s="43">
        <f>IF(AND(INDEX(Galerias!$M$2:$M$37,MATCH(AK$2,Galerias!$A$2:$A$37,0))&lt;&gt;"",$A37&gt;INDEX(Galerias!$M$2:$M$37,MATCH(AK$2,Galerias!$A$2:$A$37,0))),"",ROUND(INDEX(Galerias!$N$2:$N$37,MATCH(AK$2,Galerias!$A$2:$A$37,0))*INDEX(Galerias!$O$2:$O$37,MATCH(AK$2,Galerias!$A$2:$A$37,0))^($A37-1),0))</f>
        <v/>
      </c>
    </row>
    <row r="38" ht="15" customHeight="1" s="23">
      <c r="A38" s="25" t="n">
        <v>36</v>
      </c>
      <c r="B38" s="43">
        <f>IF(AND(INDEX(Galerias!$M$2:$M$37,MATCH(B$2,Galerias!$A$2:$A$37,0))&lt;&gt;"",$A38&gt;INDEX(Galerias!$M$2:$M$37,MATCH(B$2,Galerias!$A$2:$A$37,0))),"",ROUND(INDEX(Galerias!$N$2:$N$37,MATCH(B$2,Galerias!$A$2:$A$37,0))*INDEX(Galerias!$O$2:$O$37,MATCH(B$2,Galerias!$A$2:$A$37,0))^($A38-1),0))</f>
        <v/>
      </c>
      <c r="C38" s="43">
        <f>IF(AND(INDEX(Galerias!$M$2:$M$37,MATCH(C$2,Galerias!$A$2:$A$37,0))&lt;&gt;"",$A38&gt;INDEX(Galerias!$M$2:$M$37,MATCH(C$2,Galerias!$A$2:$A$37,0))),"",ROUND(INDEX(Galerias!$N$2:$N$37,MATCH(C$2,Galerias!$A$2:$A$37,0))*INDEX(Galerias!$O$2:$O$37,MATCH(C$2,Galerias!$A$2:$A$37,0))^($A38-1),0))</f>
        <v/>
      </c>
      <c r="D38" s="43">
        <f>IF(AND(INDEX(Galerias!$M$2:$M$37,MATCH(D$2,Galerias!$A$2:$A$37,0))&lt;&gt;"",$A38&gt;INDEX(Galerias!$M$2:$M$37,MATCH(D$2,Galerias!$A$2:$A$37,0))),"",ROUND(INDEX(Galerias!$N$2:$N$37,MATCH(D$2,Galerias!$A$2:$A$37,0))*INDEX(Galerias!$O$2:$O$37,MATCH(D$2,Galerias!$A$2:$A$37,0))^($A38-1),0))</f>
        <v/>
      </c>
      <c r="E38" s="43">
        <f>IF(AND(INDEX(Galerias!$M$2:$M$37,MATCH(E$2,Galerias!$A$2:$A$37,0))&lt;&gt;"",$A38&gt;INDEX(Galerias!$M$2:$M$37,MATCH(E$2,Galerias!$A$2:$A$37,0))),"",ROUND(INDEX(Galerias!$N$2:$N$37,MATCH(E$2,Galerias!$A$2:$A$37,0))*INDEX(Galerias!$O$2:$O$37,MATCH(E$2,Galerias!$A$2:$A$37,0))^($A38-1),0))</f>
        <v/>
      </c>
      <c r="F38" s="43">
        <f>IF(AND(INDEX(Galerias!$M$2:$M$37,MATCH(F$2,Galerias!$A$2:$A$37,0))&lt;&gt;"",$A38&gt;INDEX(Galerias!$M$2:$M$37,MATCH(F$2,Galerias!$A$2:$A$37,0))),"",ROUND(INDEX(Galerias!$N$2:$N$37,MATCH(F$2,Galerias!$A$2:$A$37,0))*INDEX(Galerias!$O$2:$O$37,MATCH(F$2,Galerias!$A$2:$A$37,0))^($A38-1),0))</f>
        <v/>
      </c>
      <c r="G38" s="43">
        <f>IF(AND(INDEX(Galerias!$M$2:$M$37,MATCH(G$2,Galerias!$A$2:$A$37,0))&lt;&gt;"",$A38&gt;INDEX(Galerias!$M$2:$M$37,MATCH(G$2,Galerias!$A$2:$A$37,0))),"",ROUND(INDEX(Galerias!$N$2:$N$37,MATCH(G$2,Galerias!$A$2:$A$37,0))*INDEX(Galerias!$O$2:$O$37,MATCH(G$2,Galerias!$A$2:$A$37,0))^($A38-1),0))</f>
        <v/>
      </c>
      <c r="H38" s="43">
        <f>IF(AND(INDEX(Galerias!$M$2:$M$37,MATCH(H$2,Galerias!$A$2:$A$37,0))&lt;&gt;"",$A38&gt;INDEX(Galerias!$M$2:$M$37,MATCH(H$2,Galerias!$A$2:$A$37,0))),"",ROUND(INDEX(Galerias!$N$2:$N$37,MATCH(H$2,Galerias!$A$2:$A$37,0))*INDEX(Galerias!$O$2:$O$37,MATCH(H$2,Galerias!$A$2:$A$37,0))^($A38-1),0))</f>
        <v/>
      </c>
      <c r="I38" s="43">
        <f>IF(AND(INDEX(Galerias!$M$2:$M$37,MATCH(I$2,Galerias!$A$2:$A$37,0))&lt;&gt;"",$A38&gt;INDEX(Galerias!$M$2:$M$37,MATCH(I$2,Galerias!$A$2:$A$37,0))),"",ROUND(INDEX(Galerias!$N$2:$N$37,MATCH(I$2,Galerias!$A$2:$A$37,0))*INDEX(Galerias!$O$2:$O$37,MATCH(I$2,Galerias!$A$2:$A$37,0))^($A38-1),0))</f>
        <v/>
      </c>
      <c r="J38" s="43">
        <f>IF(AND(INDEX(Galerias!$M$2:$M$37,MATCH(J$2,Galerias!$A$2:$A$37,0))&lt;&gt;"",$A38&gt;INDEX(Galerias!$M$2:$M$37,MATCH(J$2,Galerias!$A$2:$A$37,0))),"",ROUND(INDEX(Galerias!$N$2:$N$37,MATCH(J$2,Galerias!$A$2:$A$37,0))*INDEX(Galerias!$O$2:$O$37,MATCH(J$2,Galerias!$A$2:$A$37,0))^($A38-1),0))</f>
        <v/>
      </c>
      <c r="K38" s="43">
        <f>IF(AND(INDEX(Galerias!$M$2:$M$37,MATCH(K$2,Galerias!$A$2:$A$37,0))&lt;&gt;"",$A38&gt;INDEX(Galerias!$M$2:$M$37,MATCH(K$2,Galerias!$A$2:$A$37,0))),"",ROUND(INDEX(Galerias!$N$2:$N$37,MATCH(K$2,Galerias!$A$2:$A$37,0))*INDEX(Galerias!$O$2:$O$37,MATCH(K$2,Galerias!$A$2:$A$37,0))^($A38-1),0))</f>
        <v/>
      </c>
      <c r="L38" s="43">
        <f>IF(AND(INDEX(Galerias!$M$2:$M$37,MATCH(L$2,Galerias!$A$2:$A$37,0))&lt;&gt;"",$A38&gt;INDEX(Galerias!$M$2:$M$37,MATCH(L$2,Galerias!$A$2:$A$37,0))),"",ROUND(INDEX(Galerias!$N$2:$N$37,MATCH(L$2,Galerias!$A$2:$A$37,0))*INDEX(Galerias!$O$2:$O$37,MATCH(L$2,Galerias!$A$2:$A$37,0))^($A38-1),0))</f>
        <v/>
      </c>
      <c r="M38" s="43">
        <f>IF(AND(INDEX(Galerias!$M$2:$M$37,MATCH(M$2,Galerias!$A$2:$A$37,0))&lt;&gt;"",$A38&gt;INDEX(Galerias!$M$2:$M$37,MATCH(M$2,Galerias!$A$2:$A$37,0))),"",ROUND(INDEX(Galerias!$N$2:$N$37,MATCH(M$2,Galerias!$A$2:$A$37,0))*INDEX(Galerias!$O$2:$O$37,MATCH(M$2,Galerias!$A$2:$A$37,0))^($A38-1),0))</f>
        <v/>
      </c>
      <c r="N38" s="43">
        <f>IF(AND(INDEX(Galerias!$M$2:$M$37,MATCH(N$2,Galerias!$A$2:$A$37,0))&lt;&gt;"",$A38&gt;INDEX(Galerias!$M$2:$M$37,MATCH(N$2,Galerias!$A$2:$A$37,0))),"",ROUND(INDEX(Galerias!$N$2:$N$37,MATCH(N$2,Galerias!$A$2:$A$37,0))*INDEX(Galerias!$O$2:$O$37,MATCH(N$2,Galerias!$A$2:$A$37,0))^($A38-1),0))</f>
        <v/>
      </c>
      <c r="O38" s="43">
        <f>IF(AND(INDEX(Galerias!$M$2:$M$37,MATCH(O$2,Galerias!$A$2:$A$37,0))&lt;&gt;"",$A38&gt;INDEX(Galerias!$M$2:$M$37,MATCH(O$2,Galerias!$A$2:$A$37,0))),"",ROUND(INDEX(Galerias!$N$2:$N$37,MATCH(O$2,Galerias!$A$2:$A$37,0))*INDEX(Galerias!$O$2:$O$37,MATCH(O$2,Galerias!$A$2:$A$37,0))^($A38-1),0))</f>
        <v/>
      </c>
      <c r="P38" s="43">
        <f>IF(AND(INDEX(Galerias!$M$2:$M$37,MATCH(P$2,Galerias!$A$2:$A$37,0))&lt;&gt;"",$A38&gt;INDEX(Galerias!$M$2:$M$37,MATCH(P$2,Galerias!$A$2:$A$37,0))),"",ROUND(INDEX(Galerias!$N$2:$N$37,MATCH(P$2,Galerias!$A$2:$A$37,0))*INDEX(Galerias!$O$2:$O$37,MATCH(P$2,Galerias!$A$2:$A$37,0))^($A38-1),0))</f>
        <v/>
      </c>
      <c r="Q38" s="43">
        <f>IF(AND(INDEX(Galerias!$M$2:$M$37,MATCH(Q$2,Galerias!$A$2:$A$37,0))&lt;&gt;"",$A38&gt;INDEX(Galerias!$M$2:$M$37,MATCH(Q$2,Galerias!$A$2:$A$37,0))),"",ROUND(INDEX(Galerias!$N$2:$N$37,MATCH(Q$2,Galerias!$A$2:$A$37,0))*INDEX(Galerias!$O$2:$O$37,MATCH(Q$2,Galerias!$A$2:$A$37,0))^($A38-1),0))</f>
        <v/>
      </c>
      <c r="R38" s="43">
        <f>IF(AND(INDEX(Galerias!$M$2:$M$37,MATCH(R$2,Galerias!$A$2:$A$37,0))&lt;&gt;"",$A38&gt;INDEX(Galerias!$M$2:$M$37,MATCH(R$2,Galerias!$A$2:$A$37,0))),"",ROUND(INDEX(Galerias!$N$2:$N$37,MATCH(R$2,Galerias!$A$2:$A$37,0))*INDEX(Galerias!$O$2:$O$37,MATCH(R$2,Galerias!$A$2:$A$37,0))^($A38-1),0))</f>
        <v/>
      </c>
      <c r="S38" s="43">
        <f>IF(AND(INDEX(Galerias!$M$2:$M$37,MATCH(S$2,Galerias!$A$2:$A$37,0))&lt;&gt;"",$A38&gt;INDEX(Galerias!$M$2:$M$37,MATCH(S$2,Galerias!$A$2:$A$37,0))),"",ROUND(INDEX(Galerias!$N$2:$N$37,MATCH(S$2,Galerias!$A$2:$A$37,0))*INDEX(Galerias!$O$2:$O$37,MATCH(S$2,Galerias!$A$2:$A$37,0))^($A38-1),0))</f>
        <v/>
      </c>
      <c r="T38" s="43">
        <f>IF(AND(INDEX(Galerias!$M$2:$M$37,MATCH(T$2,Galerias!$A$2:$A$37,0))&lt;&gt;"",$A38&gt;INDEX(Galerias!$M$2:$M$37,MATCH(T$2,Galerias!$A$2:$A$37,0))),"",ROUND(INDEX(Galerias!$N$2:$N$37,MATCH(T$2,Galerias!$A$2:$A$37,0))*INDEX(Galerias!$O$2:$O$37,MATCH(T$2,Galerias!$A$2:$A$37,0))^($A38-1),0))</f>
        <v/>
      </c>
      <c r="U38" s="43">
        <f>IF(AND(INDEX(Galerias!$M$2:$M$37,MATCH(U$2,Galerias!$A$2:$A$37,0))&lt;&gt;"",$A38&gt;INDEX(Galerias!$M$2:$M$37,MATCH(U$2,Galerias!$A$2:$A$37,0))),"",ROUND(INDEX(Galerias!$N$2:$N$37,MATCH(U$2,Galerias!$A$2:$A$37,0))*INDEX(Galerias!$O$2:$O$37,MATCH(U$2,Galerias!$A$2:$A$37,0))^($A38-1),0))</f>
        <v/>
      </c>
      <c r="V38" s="43">
        <f>IF(AND(INDEX(Galerias!$M$2:$M$37,MATCH(V$2,Galerias!$A$2:$A$37,0))&lt;&gt;"",$A38&gt;INDEX(Galerias!$M$2:$M$37,MATCH(V$2,Galerias!$A$2:$A$37,0))),"",ROUND(INDEX(Galerias!$N$2:$N$37,MATCH(V$2,Galerias!$A$2:$A$37,0))*INDEX(Galerias!$O$2:$O$37,MATCH(V$2,Galerias!$A$2:$A$37,0))^($A38-1),0))</f>
        <v/>
      </c>
      <c r="W38" s="43">
        <f>IF(AND(INDEX(Galerias!$M$2:$M$37,MATCH(W$2,Galerias!$A$2:$A$37,0))&lt;&gt;"",$A38&gt;INDEX(Galerias!$M$2:$M$37,MATCH(W$2,Galerias!$A$2:$A$37,0))),"",ROUND(INDEX(Galerias!$N$2:$N$37,MATCH(W$2,Galerias!$A$2:$A$37,0))*INDEX(Galerias!$O$2:$O$37,MATCH(W$2,Galerias!$A$2:$A$37,0))^($A38-1),0))</f>
        <v/>
      </c>
      <c r="X38" s="43">
        <f>IF(AND(INDEX(Galerias!$M$2:$M$37,MATCH(X$2,Galerias!$A$2:$A$37,0))&lt;&gt;"",$A38&gt;INDEX(Galerias!$M$2:$M$37,MATCH(X$2,Galerias!$A$2:$A$37,0))),"",ROUND(INDEX(Galerias!$N$2:$N$37,MATCH(X$2,Galerias!$A$2:$A$37,0))*INDEX(Galerias!$O$2:$O$37,MATCH(X$2,Galerias!$A$2:$A$37,0))^($A38-1),0))</f>
        <v/>
      </c>
      <c r="Y38" s="43">
        <f>IF(AND(INDEX(Galerias!$M$2:$M$37,MATCH(Y$2,Galerias!$A$2:$A$37,0))&lt;&gt;"",$A38&gt;INDEX(Galerias!$M$2:$M$37,MATCH(Y$2,Galerias!$A$2:$A$37,0))),"",ROUND(INDEX(Galerias!$N$2:$N$37,MATCH(Y$2,Galerias!$A$2:$A$37,0))*INDEX(Galerias!$O$2:$O$37,MATCH(Y$2,Galerias!$A$2:$A$37,0))^($A38-1),0))</f>
        <v/>
      </c>
      <c r="Z38" s="43">
        <f>IF(AND(INDEX(Galerias!$M$2:$M$37,MATCH(Z$2,Galerias!$A$2:$A$37,0))&lt;&gt;"",$A38&gt;INDEX(Galerias!$M$2:$M$37,MATCH(Z$2,Galerias!$A$2:$A$37,0))),"",ROUND(INDEX(Galerias!$N$2:$N$37,MATCH(Z$2,Galerias!$A$2:$A$37,0))*INDEX(Galerias!$O$2:$O$37,MATCH(Z$2,Galerias!$A$2:$A$37,0))^($A38-1),0))</f>
        <v/>
      </c>
      <c r="AA38" s="43">
        <f>IF(AND(INDEX(Galerias!$M$2:$M$37,MATCH(AA$2,Galerias!$A$2:$A$37,0))&lt;&gt;"",$A38&gt;INDEX(Galerias!$M$2:$M$37,MATCH(AA$2,Galerias!$A$2:$A$37,0))),"",ROUND(INDEX(Galerias!$N$2:$N$37,MATCH(AA$2,Galerias!$A$2:$A$37,0))*INDEX(Galerias!$O$2:$O$37,MATCH(AA$2,Galerias!$A$2:$A$37,0))^($A38-1),0))</f>
        <v/>
      </c>
      <c r="AB38" s="43">
        <f>IF(AND(INDEX(Galerias!$M$2:$M$37,MATCH(AB$2,Galerias!$A$2:$A$37,0))&lt;&gt;"",$A38&gt;INDEX(Galerias!$M$2:$M$37,MATCH(AB$2,Galerias!$A$2:$A$37,0))),"",ROUND(INDEX(Galerias!$N$2:$N$37,MATCH(AB$2,Galerias!$A$2:$A$37,0))*INDEX(Galerias!$O$2:$O$37,MATCH(AB$2,Galerias!$A$2:$A$37,0))^($A38-1),0))</f>
        <v/>
      </c>
      <c r="AC38" s="43">
        <f>IF(AND(INDEX(Galerias!$M$2:$M$37,MATCH(AC$2,Galerias!$A$2:$A$37,0))&lt;&gt;"",$A38&gt;INDEX(Galerias!$M$2:$M$37,MATCH(AC$2,Galerias!$A$2:$A$37,0))),"",ROUND(INDEX(Galerias!$N$2:$N$37,MATCH(AC$2,Galerias!$A$2:$A$37,0))*INDEX(Galerias!$O$2:$O$37,MATCH(AC$2,Galerias!$A$2:$A$37,0))^($A38-1),0))</f>
        <v/>
      </c>
      <c r="AD38" s="43">
        <f>IF(AND(INDEX(Galerias!$M$2:$M$37,MATCH(AD$2,Galerias!$A$2:$A$37,0))&lt;&gt;"",$A38&gt;INDEX(Galerias!$M$2:$M$37,MATCH(AD$2,Galerias!$A$2:$A$37,0))),"",ROUND(INDEX(Galerias!$N$2:$N$37,MATCH(AD$2,Galerias!$A$2:$A$37,0))*INDEX(Galerias!$O$2:$O$37,MATCH(AD$2,Galerias!$A$2:$A$37,0))^($A38-1),0))</f>
        <v/>
      </c>
      <c r="AE38" s="43">
        <f>IF(AND(INDEX(Galerias!$M$2:$M$37,MATCH(AE$2,Galerias!$A$2:$A$37,0))&lt;&gt;"",$A38&gt;INDEX(Galerias!$M$2:$M$37,MATCH(AE$2,Galerias!$A$2:$A$37,0))),"",ROUND(INDEX(Galerias!$N$2:$N$37,MATCH(AE$2,Galerias!$A$2:$A$37,0))*INDEX(Galerias!$O$2:$O$37,MATCH(AE$2,Galerias!$A$2:$A$37,0))^($A38-1),0))</f>
        <v/>
      </c>
      <c r="AF38" s="43">
        <f>IF(AND(INDEX(Galerias!$M$2:$M$37,MATCH(AF$2,Galerias!$A$2:$A$37,0))&lt;&gt;"",$A38&gt;INDEX(Galerias!$M$2:$M$37,MATCH(AF$2,Galerias!$A$2:$A$37,0))),"",ROUND(INDEX(Galerias!$N$2:$N$37,MATCH(AF$2,Galerias!$A$2:$A$37,0))*INDEX(Galerias!$O$2:$O$37,MATCH(AF$2,Galerias!$A$2:$A$37,0))^($A38-1),0))</f>
        <v/>
      </c>
      <c r="AG38" s="43">
        <f>IF(AND(INDEX(Galerias!$M$2:$M$37,MATCH(AG$2,Galerias!$A$2:$A$37,0))&lt;&gt;"",$A38&gt;INDEX(Galerias!$M$2:$M$37,MATCH(AG$2,Galerias!$A$2:$A$37,0))),"",ROUND(INDEX(Galerias!$N$2:$N$37,MATCH(AG$2,Galerias!$A$2:$A$37,0))*INDEX(Galerias!$O$2:$O$37,MATCH(AG$2,Galerias!$A$2:$A$37,0))^($A38-1),0))</f>
        <v/>
      </c>
      <c r="AH38" s="43">
        <f>IF(AND(INDEX(Galerias!$M$2:$M$37,MATCH(AH$2,Galerias!$A$2:$A$37,0))&lt;&gt;"",$A38&gt;INDEX(Galerias!$M$2:$M$37,MATCH(AH$2,Galerias!$A$2:$A$37,0))),"",ROUND(INDEX(Galerias!$N$2:$N$37,MATCH(AH$2,Galerias!$A$2:$A$37,0))*INDEX(Galerias!$O$2:$O$37,MATCH(AH$2,Galerias!$A$2:$A$37,0))^($A38-1),0))</f>
        <v/>
      </c>
      <c r="AI38" s="43">
        <f>IF(AND(INDEX(Galerias!$M$2:$M$37,MATCH(AI$2,Galerias!$A$2:$A$37,0))&lt;&gt;"",$A38&gt;INDEX(Galerias!$M$2:$M$37,MATCH(AI$2,Galerias!$A$2:$A$37,0))),"",ROUND(INDEX(Galerias!$N$2:$N$37,MATCH(AI$2,Galerias!$A$2:$A$37,0))*INDEX(Galerias!$O$2:$O$37,MATCH(AI$2,Galerias!$A$2:$A$37,0))^($A38-1),0))</f>
        <v/>
      </c>
      <c r="AJ38" s="43">
        <f>IF(AND(INDEX(Galerias!$M$2:$M$37,MATCH(AJ$2,Galerias!$A$2:$A$37,0))&lt;&gt;"",$A38&gt;INDEX(Galerias!$M$2:$M$37,MATCH(AJ$2,Galerias!$A$2:$A$37,0))),"",ROUND(INDEX(Galerias!$N$2:$N$37,MATCH(AJ$2,Galerias!$A$2:$A$37,0))*INDEX(Galerias!$O$2:$O$37,MATCH(AJ$2,Galerias!$A$2:$A$37,0))^($A38-1),0))</f>
        <v/>
      </c>
      <c r="AK38" s="43">
        <f>IF(AND(INDEX(Galerias!$M$2:$M$37,MATCH(AK$2,Galerias!$A$2:$A$37,0))&lt;&gt;"",$A38&gt;INDEX(Galerias!$M$2:$M$37,MATCH(AK$2,Galerias!$A$2:$A$37,0))),"",ROUND(INDEX(Galerias!$N$2:$N$37,MATCH(AK$2,Galerias!$A$2:$A$37,0))*INDEX(Galerias!$O$2:$O$37,MATCH(AK$2,Galerias!$A$2:$A$37,0))^($A38-1),0))</f>
        <v/>
      </c>
    </row>
    <row r="39" ht="15" customHeight="1" s="23">
      <c r="A39" s="25" t="n">
        <v>37</v>
      </c>
      <c r="B39" s="43">
        <f>IF(AND(INDEX(Galerias!$M$2:$M$37,MATCH(B$2,Galerias!$A$2:$A$37,0))&lt;&gt;"",$A39&gt;INDEX(Galerias!$M$2:$M$37,MATCH(B$2,Galerias!$A$2:$A$37,0))),"",ROUND(INDEX(Galerias!$N$2:$N$37,MATCH(B$2,Galerias!$A$2:$A$37,0))*INDEX(Galerias!$O$2:$O$37,MATCH(B$2,Galerias!$A$2:$A$37,0))^($A39-1),0))</f>
        <v/>
      </c>
      <c r="C39" s="43">
        <f>IF(AND(INDEX(Galerias!$M$2:$M$37,MATCH(C$2,Galerias!$A$2:$A$37,0))&lt;&gt;"",$A39&gt;INDEX(Galerias!$M$2:$M$37,MATCH(C$2,Galerias!$A$2:$A$37,0))),"",ROUND(INDEX(Galerias!$N$2:$N$37,MATCH(C$2,Galerias!$A$2:$A$37,0))*INDEX(Galerias!$O$2:$O$37,MATCH(C$2,Galerias!$A$2:$A$37,0))^($A39-1),0))</f>
        <v/>
      </c>
      <c r="D39" s="43">
        <f>IF(AND(INDEX(Galerias!$M$2:$M$37,MATCH(D$2,Galerias!$A$2:$A$37,0))&lt;&gt;"",$A39&gt;INDEX(Galerias!$M$2:$M$37,MATCH(D$2,Galerias!$A$2:$A$37,0))),"",ROUND(INDEX(Galerias!$N$2:$N$37,MATCH(D$2,Galerias!$A$2:$A$37,0))*INDEX(Galerias!$O$2:$O$37,MATCH(D$2,Galerias!$A$2:$A$37,0))^($A39-1),0))</f>
        <v/>
      </c>
      <c r="E39" s="43">
        <f>IF(AND(INDEX(Galerias!$M$2:$M$37,MATCH(E$2,Galerias!$A$2:$A$37,0))&lt;&gt;"",$A39&gt;INDEX(Galerias!$M$2:$M$37,MATCH(E$2,Galerias!$A$2:$A$37,0))),"",ROUND(INDEX(Galerias!$N$2:$N$37,MATCH(E$2,Galerias!$A$2:$A$37,0))*INDEX(Galerias!$O$2:$O$37,MATCH(E$2,Galerias!$A$2:$A$37,0))^($A39-1),0))</f>
        <v/>
      </c>
      <c r="F39" s="43">
        <f>IF(AND(INDEX(Galerias!$M$2:$M$37,MATCH(F$2,Galerias!$A$2:$A$37,0))&lt;&gt;"",$A39&gt;INDEX(Galerias!$M$2:$M$37,MATCH(F$2,Galerias!$A$2:$A$37,0))),"",ROUND(INDEX(Galerias!$N$2:$N$37,MATCH(F$2,Galerias!$A$2:$A$37,0))*INDEX(Galerias!$O$2:$O$37,MATCH(F$2,Galerias!$A$2:$A$37,0))^($A39-1),0))</f>
        <v/>
      </c>
      <c r="G39" s="43">
        <f>IF(AND(INDEX(Galerias!$M$2:$M$37,MATCH(G$2,Galerias!$A$2:$A$37,0))&lt;&gt;"",$A39&gt;INDEX(Galerias!$M$2:$M$37,MATCH(G$2,Galerias!$A$2:$A$37,0))),"",ROUND(INDEX(Galerias!$N$2:$N$37,MATCH(G$2,Galerias!$A$2:$A$37,0))*INDEX(Galerias!$O$2:$O$37,MATCH(G$2,Galerias!$A$2:$A$37,0))^($A39-1),0))</f>
        <v/>
      </c>
      <c r="H39" s="43">
        <f>IF(AND(INDEX(Galerias!$M$2:$M$37,MATCH(H$2,Galerias!$A$2:$A$37,0))&lt;&gt;"",$A39&gt;INDEX(Galerias!$M$2:$M$37,MATCH(H$2,Galerias!$A$2:$A$37,0))),"",ROUND(INDEX(Galerias!$N$2:$N$37,MATCH(H$2,Galerias!$A$2:$A$37,0))*INDEX(Galerias!$O$2:$O$37,MATCH(H$2,Galerias!$A$2:$A$37,0))^($A39-1),0))</f>
        <v/>
      </c>
      <c r="I39" s="43">
        <f>IF(AND(INDEX(Galerias!$M$2:$M$37,MATCH(I$2,Galerias!$A$2:$A$37,0))&lt;&gt;"",$A39&gt;INDEX(Galerias!$M$2:$M$37,MATCH(I$2,Galerias!$A$2:$A$37,0))),"",ROUND(INDEX(Galerias!$N$2:$N$37,MATCH(I$2,Galerias!$A$2:$A$37,0))*INDEX(Galerias!$O$2:$O$37,MATCH(I$2,Galerias!$A$2:$A$37,0))^($A39-1),0))</f>
        <v/>
      </c>
      <c r="J39" s="43">
        <f>IF(AND(INDEX(Galerias!$M$2:$M$37,MATCH(J$2,Galerias!$A$2:$A$37,0))&lt;&gt;"",$A39&gt;INDEX(Galerias!$M$2:$M$37,MATCH(J$2,Galerias!$A$2:$A$37,0))),"",ROUND(INDEX(Galerias!$N$2:$N$37,MATCH(J$2,Galerias!$A$2:$A$37,0))*INDEX(Galerias!$O$2:$O$37,MATCH(J$2,Galerias!$A$2:$A$37,0))^($A39-1),0))</f>
        <v/>
      </c>
      <c r="K39" s="43">
        <f>IF(AND(INDEX(Galerias!$M$2:$M$37,MATCH(K$2,Galerias!$A$2:$A$37,0))&lt;&gt;"",$A39&gt;INDEX(Galerias!$M$2:$M$37,MATCH(K$2,Galerias!$A$2:$A$37,0))),"",ROUND(INDEX(Galerias!$N$2:$N$37,MATCH(K$2,Galerias!$A$2:$A$37,0))*INDEX(Galerias!$O$2:$O$37,MATCH(K$2,Galerias!$A$2:$A$37,0))^($A39-1),0))</f>
        <v/>
      </c>
      <c r="L39" s="43">
        <f>IF(AND(INDEX(Galerias!$M$2:$M$37,MATCH(L$2,Galerias!$A$2:$A$37,0))&lt;&gt;"",$A39&gt;INDEX(Galerias!$M$2:$M$37,MATCH(L$2,Galerias!$A$2:$A$37,0))),"",ROUND(INDEX(Galerias!$N$2:$N$37,MATCH(L$2,Galerias!$A$2:$A$37,0))*INDEX(Galerias!$O$2:$O$37,MATCH(L$2,Galerias!$A$2:$A$37,0))^($A39-1),0))</f>
        <v/>
      </c>
      <c r="M39" s="43">
        <f>IF(AND(INDEX(Galerias!$M$2:$M$37,MATCH(M$2,Galerias!$A$2:$A$37,0))&lt;&gt;"",$A39&gt;INDEX(Galerias!$M$2:$M$37,MATCH(M$2,Galerias!$A$2:$A$37,0))),"",ROUND(INDEX(Galerias!$N$2:$N$37,MATCH(M$2,Galerias!$A$2:$A$37,0))*INDEX(Galerias!$O$2:$O$37,MATCH(M$2,Galerias!$A$2:$A$37,0))^($A39-1),0))</f>
        <v/>
      </c>
      <c r="N39" s="43">
        <f>IF(AND(INDEX(Galerias!$M$2:$M$37,MATCH(N$2,Galerias!$A$2:$A$37,0))&lt;&gt;"",$A39&gt;INDEX(Galerias!$M$2:$M$37,MATCH(N$2,Galerias!$A$2:$A$37,0))),"",ROUND(INDEX(Galerias!$N$2:$N$37,MATCH(N$2,Galerias!$A$2:$A$37,0))*INDEX(Galerias!$O$2:$O$37,MATCH(N$2,Galerias!$A$2:$A$37,0))^($A39-1),0))</f>
        <v/>
      </c>
      <c r="O39" s="43">
        <f>IF(AND(INDEX(Galerias!$M$2:$M$37,MATCH(O$2,Galerias!$A$2:$A$37,0))&lt;&gt;"",$A39&gt;INDEX(Galerias!$M$2:$M$37,MATCH(O$2,Galerias!$A$2:$A$37,0))),"",ROUND(INDEX(Galerias!$N$2:$N$37,MATCH(O$2,Galerias!$A$2:$A$37,0))*INDEX(Galerias!$O$2:$O$37,MATCH(O$2,Galerias!$A$2:$A$37,0))^($A39-1),0))</f>
        <v/>
      </c>
      <c r="P39" s="43">
        <f>IF(AND(INDEX(Galerias!$M$2:$M$37,MATCH(P$2,Galerias!$A$2:$A$37,0))&lt;&gt;"",$A39&gt;INDEX(Galerias!$M$2:$M$37,MATCH(P$2,Galerias!$A$2:$A$37,0))),"",ROUND(INDEX(Galerias!$N$2:$N$37,MATCH(P$2,Galerias!$A$2:$A$37,0))*INDEX(Galerias!$O$2:$O$37,MATCH(P$2,Galerias!$A$2:$A$37,0))^($A39-1),0))</f>
        <v/>
      </c>
      <c r="Q39" s="43">
        <f>IF(AND(INDEX(Galerias!$M$2:$M$37,MATCH(Q$2,Galerias!$A$2:$A$37,0))&lt;&gt;"",$A39&gt;INDEX(Galerias!$M$2:$M$37,MATCH(Q$2,Galerias!$A$2:$A$37,0))),"",ROUND(INDEX(Galerias!$N$2:$N$37,MATCH(Q$2,Galerias!$A$2:$A$37,0))*INDEX(Galerias!$O$2:$O$37,MATCH(Q$2,Galerias!$A$2:$A$37,0))^($A39-1),0))</f>
        <v/>
      </c>
      <c r="R39" s="43">
        <f>IF(AND(INDEX(Galerias!$M$2:$M$37,MATCH(R$2,Galerias!$A$2:$A$37,0))&lt;&gt;"",$A39&gt;INDEX(Galerias!$M$2:$M$37,MATCH(R$2,Galerias!$A$2:$A$37,0))),"",ROUND(INDEX(Galerias!$N$2:$N$37,MATCH(R$2,Galerias!$A$2:$A$37,0))*INDEX(Galerias!$O$2:$O$37,MATCH(R$2,Galerias!$A$2:$A$37,0))^($A39-1),0))</f>
        <v/>
      </c>
      <c r="S39" s="43">
        <f>IF(AND(INDEX(Galerias!$M$2:$M$37,MATCH(S$2,Galerias!$A$2:$A$37,0))&lt;&gt;"",$A39&gt;INDEX(Galerias!$M$2:$M$37,MATCH(S$2,Galerias!$A$2:$A$37,0))),"",ROUND(INDEX(Galerias!$N$2:$N$37,MATCH(S$2,Galerias!$A$2:$A$37,0))*INDEX(Galerias!$O$2:$O$37,MATCH(S$2,Galerias!$A$2:$A$37,0))^($A39-1),0))</f>
        <v/>
      </c>
      <c r="T39" s="43">
        <f>IF(AND(INDEX(Galerias!$M$2:$M$37,MATCH(T$2,Galerias!$A$2:$A$37,0))&lt;&gt;"",$A39&gt;INDEX(Galerias!$M$2:$M$37,MATCH(T$2,Galerias!$A$2:$A$37,0))),"",ROUND(INDEX(Galerias!$N$2:$N$37,MATCH(T$2,Galerias!$A$2:$A$37,0))*INDEX(Galerias!$O$2:$O$37,MATCH(T$2,Galerias!$A$2:$A$37,0))^($A39-1),0))</f>
        <v/>
      </c>
      <c r="U39" s="43">
        <f>IF(AND(INDEX(Galerias!$M$2:$M$37,MATCH(U$2,Galerias!$A$2:$A$37,0))&lt;&gt;"",$A39&gt;INDEX(Galerias!$M$2:$M$37,MATCH(U$2,Galerias!$A$2:$A$37,0))),"",ROUND(INDEX(Galerias!$N$2:$N$37,MATCH(U$2,Galerias!$A$2:$A$37,0))*INDEX(Galerias!$O$2:$O$37,MATCH(U$2,Galerias!$A$2:$A$37,0))^($A39-1),0))</f>
        <v/>
      </c>
      <c r="V39" s="43">
        <f>IF(AND(INDEX(Galerias!$M$2:$M$37,MATCH(V$2,Galerias!$A$2:$A$37,0))&lt;&gt;"",$A39&gt;INDEX(Galerias!$M$2:$M$37,MATCH(V$2,Galerias!$A$2:$A$37,0))),"",ROUND(INDEX(Galerias!$N$2:$N$37,MATCH(V$2,Galerias!$A$2:$A$37,0))*INDEX(Galerias!$O$2:$O$37,MATCH(V$2,Galerias!$A$2:$A$37,0))^($A39-1),0))</f>
        <v/>
      </c>
      <c r="W39" s="43">
        <f>IF(AND(INDEX(Galerias!$M$2:$M$37,MATCH(W$2,Galerias!$A$2:$A$37,0))&lt;&gt;"",$A39&gt;INDEX(Galerias!$M$2:$M$37,MATCH(W$2,Galerias!$A$2:$A$37,0))),"",ROUND(INDEX(Galerias!$N$2:$N$37,MATCH(W$2,Galerias!$A$2:$A$37,0))*INDEX(Galerias!$O$2:$O$37,MATCH(W$2,Galerias!$A$2:$A$37,0))^($A39-1),0))</f>
        <v/>
      </c>
      <c r="X39" s="43">
        <f>IF(AND(INDEX(Galerias!$M$2:$M$37,MATCH(X$2,Galerias!$A$2:$A$37,0))&lt;&gt;"",$A39&gt;INDEX(Galerias!$M$2:$M$37,MATCH(X$2,Galerias!$A$2:$A$37,0))),"",ROUND(INDEX(Galerias!$N$2:$N$37,MATCH(X$2,Galerias!$A$2:$A$37,0))*INDEX(Galerias!$O$2:$O$37,MATCH(X$2,Galerias!$A$2:$A$37,0))^($A39-1),0))</f>
        <v/>
      </c>
      <c r="Y39" s="43">
        <f>IF(AND(INDEX(Galerias!$M$2:$M$37,MATCH(Y$2,Galerias!$A$2:$A$37,0))&lt;&gt;"",$A39&gt;INDEX(Galerias!$M$2:$M$37,MATCH(Y$2,Galerias!$A$2:$A$37,0))),"",ROUND(INDEX(Galerias!$N$2:$N$37,MATCH(Y$2,Galerias!$A$2:$A$37,0))*INDEX(Galerias!$O$2:$O$37,MATCH(Y$2,Galerias!$A$2:$A$37,0))^($A39-1),0))</f>
        <v/>
      </c>
      <c r="Z39" s="43">
        <f>IF(AND(INDEX(Galerias!$M$2:$M$37,MATCH(Z$2,Galerias!$A$2:$A$37,0))&lt;&gt;"",$A39&gt;INDEX(Galerias!$M$2:$M$37,MATCH(Z$2,Galerias!$A$2:$A$37,0))),"",ROUND(INDEX(Galerias!$N$2:$N$37,MATCH(Z$2,Galerias!$A$2:$A$37,0))*INDEX(Galerias!$O$2:$O$37,MATCH(Z$2,Galerias!$A$2:$A$37,0))^($A39-1),0))</f>
        <v/>
      </c>
      <c r="AA39" s="43">
        <f>IF(AND(INDEX(Galerias!$M$2:$M$37,MATCH(AA$2,Galerias!$A$2:$A$37,0))&lt;&gt;"",$A39&gt;INDEX(Galerias!$M$2:$M$37,MATCH(AA$2,Galerias!$A$2:$A$37,0))),"",ROUND(INDEX(Galerias!$N$2:$N$37,MATCH(AA$2,Galerias!$A$2:$A$37,0))*INDEX(Galerias!$O$2:$O$37,MATCH(AA$2,Galerias!$A$2:$A$37,0))^($A39-1),0))</f>
        <v/>
      </c>
      <c r="AB39" s="43">
        <f>IF(AND(INDEX(Galerias!$M$2:$M$37,MATCH(AB$2,Galerias!$A$2:$A$37,0))&lt;&gt;"",$A39&gt;INDEX(Galerias!$M$2:$M$37,MATCH(AB$2,Galerias!$A$2:$A$37,0))),"",ROUND(INDEX(Galerias!$N$2:$N$37,MATCH(AB$2,Galerias!$A$2:$A$37,0))*INDEX(Galerias!$O$2:$O$37,MATCH(AB$2,Galerias!$A$2:$A$37,0))^($A39-1),0))</f>
        <v/>
      </c>
      <c r="AC39" s="43">
        <f>IF(AND(INDEX(Galerias!$M$2:$M$37,MATCH(AC$2,Galerias!$A$2:$A$37,0))&lt;&gt;"",$A39&gt;INDEX(Galerias!$M$2:$M$37,MATCH(AC$2,Galerias!$A$2:$A$37,0))),"",ROUND(INDEX(Galerias!$N$2:$N$37,MATCH(AC$2,Galerias!$A$2:$A$37,0))*INDEX(Galerias!$O$2:$O$37,MATCH(AC$2,Galerias!$A$2:$A$37,0))^($A39-1),0))</f>
        <v/>
      </c>
      <c r="AD39" s="43">
        <f>IF(AND(INDEX(Galerias!$M$2:$M$37,MATCH(AD$2,Galerias!$A$2:$A$37,0))&lt;&gt;"",$A39&gt;INDEX(Galerias!$M$2:$M$37,MATCH(AD$2,Galerias!$A$2:$A$37,0))),"",ROUND(INDEX(Galerias!$N$2:$N$37,MATCH(AD$2,Galerias!$A$2:$A$37,0))*INDEX(Galerias!$O$2:$O$37,MATCH(AD$2,Galerias!$A$2:$A$37,0))^($A39-1),0))</f>
        <v/>
      </c>
      <c r="AE39" s="43">
        <f>IF(AND(INDEX(Galerias!$M$2:$M$37,MATCH(AE$2,Galerias!$A$2:$A$37,0))&lt;&gt;"",$A39&gt;INDEX(Galerias!$M$2:$M$37,MATCH(AE$2,Galerias!$A$2:$A$37,0))),"",ROUND(INDEX(Galerias!$N$2:$N$37,MATCH(AE$2,Galerias!$A$2:$A$37,0))*INDEX(Galerias!$O$2:$O$37,MATCH(AE$2,Galerias!$A$2:$A$37,0))^($A39-1),0))</f>
        <v/>
      </c>
      <c r="AF39" s="43">
        <f>IF(AND(INDEX(Galerias!$M$2:$M$37,MATCH(AF$2,Galerias!$A$2:$A$37,0))&lt;&gt;"",$A39&gt;INDEX(Galerias!$M$2:$M$37,MATCH(AF$2,Galerias!$A$2:$A$37,0))),"",ROUND(INDEX(Galerias!$N$2:$N$37,MATCH(AF$2,Galerias!$A$2:$A$37,0))*INDEX(Galerias!$O$2:$O$37,MATCH(AF$2,Galerias!$A$2:$A$37,0))^($A39-1),0))</f>
        <v/>
      </c>
      <c r="AG39" s="43">
        <f>IF(AND(INDEX(Galerias!$M$2:$M$37,MATCH(AG$2,Galerias!$A$2:$A$37,0))&lt;&gt;"",$A39&gt;INDEX(Galerias!$M$2:$M$37,MATCH(AG$2,Galerias!$A$2:$A$37,0))),"",ROUND(INDEX(Galerias!$N$2:$N$37,MATCH(AG$2,Galerias!$A$2:$A$37,0))*INDEX(Galerias!$O$2:$O$37,MATCH(AG$2,Galerias!$A$2:$A$37,0))^($A39-1),0))</f>
        <v/>
      </c>
      <c r="AH39" s="43">
        <f>IF(AND(INDEX(Galerias!$M$2:$M$37,MATCH(AH$2,Galerias!$A$2:$A$37,0))&lt;&gt;"",$A39&gt;INDEX(Galerias!$M$2:$M$37,MATCH(AH$2,Galerias!$A$2:$A$37,0))),"",ROUND(INDEX(Galerias!$N$2:$N$37,MATCH(AH$2,Galerias!$A$2:$A$37,0))*INDEX(Galerias!$O$2:$O$37,MATCH(AH$2,Galerias!$A$2:$A$37,0))^($A39-1),0))</f>
        <v/>
      </c>
      <c r="AI39" s="43">
        <f>IF(AND(INDEX(Galerias!$M$2:$M$37,MATCH(AI$2,Galerias!$A$2:$A$37,0))&lt;&gt;"",$A39&gt;INDEX(Galerias!$M$2:$M$37,MATCH(AI$2,Galerias!$A$2:$A$37,0))),"",ROUND(INDEX(Galerias!$N$2:$N$37,MATCH(AI$2,Galerias!$A$2:$A$37,0))*INDEX(Galerias!$O$2:$O$37,MATCH(AI$2,Galerias!$A$2:$A$37,0))^($A39-1),0))</f>
        <v/>
      </c>
      <c r="AJ39" s="43">
        <f>IF(AND(INDEX(Galerias!$M$2:$M$37,MATCH(AJ$2,Galerias!$A$2:$A$37,0))&lt;&gt;"",$A39&gt;INDEX(Galerias!$M$2:$M$37,MATCH(AJ$2,Galerias!$A$2:$A$37,0))),"",ROUND(INDEX(Galerias!$N$2:$N$37,MATCH(AJ$2,Galerias!$A$2:$A$37,0))*INDEX(Galerias!$O$2:$O$37,MATCH(AJ$2,Galerias!$A$2:$A$37,0))^($A39-1),0))</f>
        <v/>
      </c>
      <c r="AK39" s="43">
        <f>IF(AND(INDEX(Galerias!$M$2:$M$37,MATCH(AK$2,Galerias!$A$2:$A$37,0))&lt;&gt;"",$A39&gt;INDEX(Galerias!$M$2:$M$37,MATCH(AK$2,Galerias!$A$2:$A$37,0))),"",ROUND(INDEX(Galerias!$N$2:$N$37,MATCH(AK$2,Galerias!$A$2:$A$37,0))*INDEX(Galerias!$O$2:$O$37,MATCH(AK$2,Galerias!$A$2:$A$37,0))^($A39-1),0))</f>
        <v/>
      </c>
    </row>
    <row r="40" ht="15" customHeight="1" s="23">
      <c r="A40" s="25" t="n">
        <v>38</v>
      </c>
      <c r="B40" s="43">
        <f>IF(AND(INDEX(Galerias!$M$2:$M$37,MATCH(B$2,Galerias!$A$2:$A$37,0))&lt;&gt;"",$A40&gt;INDEX(Galerias!$M$2:$M$37,MATCH(B$2,Galerias!$A$2:$A$37,0))),"",ROUND(INDEX(Galerias!$N$2:$N$37,MATCH(B$2,Galerias!$A$2:$A$37,0))*INDEX(Galerias!$O$2:$O$37,MATCH(B$2,Galerias!$A$2:$A$37,0))^($A40-1),0))</f>
        <v/>
      </c>
      <c r="C40" s="43">
        <f>IF(AND(INDEX(Galerias!$M$2:$M$37,MATCH(C$2,Galerias!$A$2:$A$37,0))&lt;&gt;"",$A40&gt;INDEX(Galerias!$M$2:$M$37,MATCH(C$2,Galerias!$A$2:$A$37,0))),"",ROUND(INDEX(Galerias!$N$2:$N$37,MATCH(C$2,Galerias!$A$2:$A$37,0))*INDEX(Galerias!$O$2:$O$37,MATCH(C$2,Galerias!$A$2:$A$37,0))^($A40-1),0))</f>
        <v/>
      </c>
      <c r="D40" s="43">
        <f>IF(AND(INDEX(Galerias!$M$2:$M$37,MATCH(D$2,Galerias!$A$2:$A$37,0))&lt;&gt;"",$A40&gt;INDEX(Galerias!$M$2:$M$37,MATCH(D$2,Galerias!$A$2:$A$37,0))),"",ROUND(INDEX(Galerias!$N$2:$N$37,MATCH(D$2,Galerias!$A$2:$A$37,0))*INDEX(Galerias!$O$2:$O$37,MATCH(D$2,Galerias!$A$2:$A$37,0))^($A40-1),0))</f>
        <v/>
      </c>
      <c r="E40" s="43">
        <f>IF(AND(INDEX(Galerias!$M$2:$M$37,MATCH(E$2,Galerias!$A$2:$A$37,0))&lt;&gt;"",$A40&gt;INDEX(Galerias!$M$2:$M$37,MATCH(E$2,Galerias!$A$2:$A$37,0))),"",ROUND(INDEX(Galerias!$N$2:$N$37,MATCH(E$2,Galerias!$A$2:$A$37,0))*INDEX(Galerias!$O$2:$O$37,MATCH(E$2,Galerias!$A$2:$A$37,0))^($A40-1),0))</f>
        <v/>
      </c>
      <c r="F40" s="43">
        <f>IF(AND(INDEX(Galerias!$M$2:$M$37,MATCH(F$2,Galerias!$A$2:$A$37,0))&lt;&gt;"",$A40&gt;INDEX(Galerias!$M$2:$M$37,MATCH(F$2,Galerias!$A$2:$A$37,0))),"",ROUND(INDEX(Galerias!$N$2:$N$37,MATCH(F$2,Galerias!$A$2:$A$37,0))*INDEX(Galerias!$O$2:$O$37,MATCH(F$2,Galerias!$A$2:$A$37,0))^($A40-1),0))</f>
        <v/>
      </c>
      <c r="G40" s="43">
        <f>IF(AND(INDEX(Galerias!$M$2:$M$37,MATCH(G$2,Galerias!$A$2:$A$37,0))&lt;&gt;"",$A40&gt;INDEX(Galerias!$M$2:$M$37,MATCH(G$2,Galerias!$A$2:$A$37,0))),"",ROUND(INDEX(Galerias!$N$2:$N$37,MATCH(G$2,Galerias!$A$2:$A$37,0))*INDEX(Galerias!$O$2:$O$37,MATCH(G$2,Galerias!$A$2:$A$37,0))^($A40-1),0))</f>
        <v/>
      </c>
      <c r="H40" s="43">
        <f>IF(AND(INDEX(Galerias!$M$2:$M$37,MATCH(H$2,Galerias!$A$2:$A$37,0))&lt;&gt;"",$A40&gt;INDEX(Galerias!$M$2:$M$37,MATCH(H$2,Galerias!$A$2:$A$37,0))),"",ROUND(INDEX(Galerias!$N$2:$N$37,MATCH(H$2,Galerias!$A$2:$A$37,0))*INDEX(Galerias!$O$2:$O$37,MATCH(H$2,Galerias!$A$2:$A$37,0))^($A40-1),0))</f>
        <v/>
      </c>
      <c r="I40" s="43">
        <f>IF(AND(INDEX(Galerias!$M$2:$M$37,MATCH(I$2,Galerias!$A$2:$A$37,0))&lt;&gt;"",$A40&gt;INDEX(Galerias!$M$2:$M$37,MATCH(I$2,Galerias!$A$2:$A$37,0))),"",ROUND(INDEX(Galerias!$N$2:$N$37,MATCH(I$2,Galerias!$A$2:$A$37,0))*INDEX(Galerias!$O$2:$O$37,MATCH(I$2,Galerias!$A$2:$A$37,0))^($A40-1),0))</f>
        <v/>
      </c>
      <c r="J40" s="43">
        <f>IF(AND(INDEX(Galerias!$M$2:$M$37,MATCH(J$2,Galerias!$A$2:$A$37,0))&lt;&gt;"",$A40&gt;INDEX(Galerias!$M$2:$M$37,MATCH(J$2,Galerias!$A$2:$A$37,0))),"",ROUND(INDEX(Galerias!$N$2:$N$37,MATCH(J$2,Galerias!$A$2:$A$37,0))*INDEX(Galerias!$O$2:$O$37,MATCH(J$2,Galerias!$A$2:$A$37,0))^($A40-1),0))</f>
        <v/>
      </c>
      <c r="K40" s="43">
        <f>IF(AND(INDEX(Galerias!$M$2:$M$37,MATCH(K$2,Galerias!$A$2:$A$37,0))&lt;&gt;"",$A40&gt;INDEX(Galerias!$M$2:$M$37,MATCH(K$2,Galerias!$A$2:$A$37,0))),"",ROUND(INDEX(Galerias!$N$2:$N$37,MATCH(K$2,Galerias!$A$2:$A$37,0))*INDEX(Galerias!$O$2:$O$37,MATCH(K$2,Galerias!$A$2:$A$37,0))^($A40-1),0))</f>
        <v/>
      </c>
      <c r="L40" s="43">
        <f>IF(AND(INDEX(Galerias!$M$2:$M$37,MATCH(L$2,Galerias!$A$2:$A$37,0))&lt;&gt;"",$A40&gt;INDEX(Galerias!$M$2:$M$37,MATCH(L$2,Galerias!$A$2:$A$37,0))),"",ROUND(INDEX(Galerias!$N$2:$N$37,MATCH(L$2,Galerias!$A$2:$A$37,0))*INDEX(Galerias!$O$2:$O$37,MATCH(L$2,Galerias!$A$2:$A$37,0))^($A40-1),0))</f>
        <v/>
      </c>
      <c r="M40" s="43">
        <f>IF(AND(INDEX(Galerias!$M$2:$M$37,MATCH(M$2,Galerias!$A$2:$A$37,0))&lt;&gt;"",$A40&gt;INDEX(Galerias!$M$2:$M$37,MATCH(M$2,Galerias!$A$2:$A$37,0))),"",ROUND(INDEX(Galerias!$N$2:$N$37,MATCH(M$2,Galerias!$A$2:$A$37,0))*INDEX(Galerias!$O$2:$O$37,MATCH(M$2,Galerias!$A$2:$A$37,0))^($A40-1),0))</f>
        <v/>
      </c>
      <c r="N40" s="43">
        <f>IF(AND(INDEX(Galerias!$M$2:$M$37,MATCH(N$2,Galerias!$A$2:$A$37,0))&lt;&gt;"",$A40&gt;INDEX(Galerias!$M$2:$M$37,MATCH(N$2,Galerias!$A$2:$A$37,0))),"",ROUND(INDEX(Galerias!$N$2:$N$37,MATCH(N$2,Galerias!$A$2:$A$37,0))*INDEX(Galerias!$O$2:$O$37,MATCH(N$2,Galerias!$A$2:$A$37,0))^($A40-1),0))</f>
        <v/>
      </c>
      <c r="O40" s="43">
        <f>IF(AND(INDEX(Galerias!$M$2:$M$37,MATCH(O$2,Galerias!$A$2:$A$37,0))&lt;&gt;"",$A40&gt;INDEX(Galerias!$M$2:$M$37,MATCH(O$2,Galerias!$A$2:$A$37,0))),"",ROUND(INDEX(Galerias!$N$2:$N$37,MATCH(O$2,Galerias!$A$2:$A$37,0))*INDEX(Galerias!$O$2:$O$37,MATCH(O$2,Galerias!$A$2:$A$37,0))^($A40-1),0))</f>
        <v/>
      </c>
      <c r="P40" s="43">
        <f>IF(AND(INDEX(Galerias!$M$2:$M$37,MATCH(P$2,Galerias!$A$2:$A$37,0))&lt;&gt;"",$A40&gt;INDEX(Galerias!$M$2:$M$37,MATCH(P$2,Galerias!$A$2:$A$37,0))),"",ROUND(INDEX(Galerias!$N$2:$N$37,MATCH(P$2,Galerias!$A$2:$A$37,0))*INDEX(Galerias!$O$2:$O$37,MATCH(P$2,Galerias!$A$2:$A$37,0))^($A40-1),0))</f>
        <v/>
      </c>
      <c r="Q40" s="43">
        <f>IF(AND(INDEX(Galerias!$M$2:$M$37,MATCH(Q$2,Galerias!$A$2:$A$37,0))&lt;&gt;"",$A40&gt;INDEX(Galerias!$M$2:$M$37,MATCH(Q$2,Galerias!$A$2:$A$37,0))),"",ROUND(INDEX(Galerias!$N$2:$N$37,MATCH(Q$2,Galerias!$A$2:$A$37,0))*INDEX(Galerias!$O$2:$O$37,MATCH(Q$2,Galerias!$A$2:$A$37,0))^($A40-1),0))</f>
        <v/>
      </c>
      <c r="R40" s="43">
        <f>IF(AND(INDEX(Galerias!$M$2:$M$37,MATCH(R$2,Galerias!$A$2:$A$37,0))&lt;&gt;"",$A40&gt;INDEX(Galerias!$M$2:$M$37,MATCH(R$2,Galerias!$A$2:$A$37,0))),"",ROUND(INDEX(Galerias!$N$2:$N$37,MATCH(R$2,Galerias!$A$2:$A$37,0))*INDEX(Galerias!$O$2:$O$37,MATCH(R$2,Galerias!$A$2:$A$37,0))^($A40-1),0))</f>
        <v/>
      </c>
      <c r="S40" s="43">
        <f>IF(AND(INDEX(Galerias!$M$2:$M$37,MATCH(S$2,Galerias!$A$2:$A$37,0))&lt;&gt;"",$A40&gt;INDEX(Galerias!$M$2:$M$37,MATCH(S$2,Galerias!$A$2:$A$37,0))),"",ROUND(INDEX(Galerias!$N$2:$N$37,MATCH(S$2,Galerias!$A$2:$A$37,0))*INDEX(Galerias!$O$2:$O$37,MATCH(S$2,Galerias!$A$2:$A$37,0))^($A40-1),0))</f>
        <v/>
      </c>
      <c r="T40" s="43">
        <f>IF(AND(INDEX(Galerias!$M$2:$M$37,MATCH(T$2,Galerias!$A$2:$A$37,0))&lt;&gt;"",$A40&gt;INDEX(Galerias!$M$2:$M$37,MATCH(T$2,Galerias!$A$2:$A$37,0))),"",ROUND(INDEX(Galerias!$N$2:$N$37,MATCH(T$2,Galerias!$A$2:$A$37,0))*INDEX(Galerias!$O$2:$O$37,MATCH(T$2,Galerias!$A$2:$A$37,0))^($A40-1),0))</f>
        <v/>
      </c>
      <c r="U40" s="43">
        <f>IF(AND(INDEX(Galerias!$M$2:$M$37,MATCH(U$2,Galerias!$A$2:$A$37,0))&lt;&gt;"",$A40&gt;INDEX(Galerias!$M$2:$M$37,MATCH(U$2,Galerias!$A$2:$A$37,0))),"",ROUND(INDEX(Galerias!$N$2:$N$37,MATCH(U$2,Galerias!$A$2:$A$37,0))*INDEX(Galerias!$O$2:$O$37,MATCH(U$2,Galerias!$A$2:$A$37,0))^($A40-1),0))</f>
        <v/>
      </c>
      <c r="V40" s="43">
        <f>IF(AND(INDEX(Galerias!$M$2:$M$37,MATCH(V$2,Galerias!$A$2:$A$37,0))&lt;&gt;"",$A40&gt;INDEX(Galerias!$M$2:$M$37,MATCH(V$2,Galerias!$A$2:$A$37,0))),"",ROUND(INDEX(Galerias!$N$2:$N$37,MATCH(V$2,Galerias!$A$2:$A$37,0))*INDEX(Galerias!$O$2:$O$37,MATCH(V$2,Galerias!$A$2:$A$37,0))^($A40-1),0))</f>
        <v/>
      </c>
      <c r="W40" s="43">
        <f>IF(AND(INDEX(Galerias!$M$2:$M$37,MATCH(W$2,Galerias!$A$2:$A$37,0))&lt;&gt;"",$A40&gt;INDEX(Galerias!$M$2:$M$37,MATCH(W$2,Galerias!$A$2:$A$37,0))),"",ROUND(INDEX(Galerias!$N$2:$N$37,MATCH(W$2,Galerias!$A$2:$A$37,0))*INDEX(Galerias!$O$2:$O$37,MATCH(W$2,Galerias!$A$2:$A$37,0))^($A40-1),0))</f>
        <v/>
      </c>
      <c r="X40" s="43">
        <f>IF(AND(INDEX(Galerias!$M$2:$M$37,MATCH(X$2,Galerias!$A$2:$A$37,0))&lt;&gt;"",$A40&gt;INDEX(Galerias!$M$2:$M$37,MATCH(X$2,Galerias!$A$2:$A$37,0))),"",ROUND(INDEX(Galerias!$N$2:$N$37,MATCH(X$2,Galerias!$A$2:$A$37,0))*INDEX(Galerias!$O$2:$O$37,MATCH(X$2,Galerias!$A$2:$A$37,0))^($A40-1),0))</f>
        <v/>
      </c>
      <c r="Y40" s="43">
        <f>IF(AND(INDEX(Galerias!$M$2:$M$37,MATCH(Y$2,Galerias!$A$2:$A$37,0))&lt;&gt;"",$A40&gt;INDEX(Galerias!$M$2:$M$37,MATCH(Y$2,Galerias!$A$2:$A$37,0))),"",ROUND(INDEX(Galerias!$N$2:$N$37,MATCH(Y$2,Galerias!$A$2:$A$37,0))*INDEX(Galerias!$O$2:$O$37,MATCH(Y$2,Galerias!$A$2:$A$37,0))^($A40-1),0))</f>
        <v/>
      </c>
      <c r="Z40" s="43">
        <f>IF(AND(INDEX(Galerias!$M$2:$M$37,MATCH(Z$2,Galerias!$A$2:$A$37,0))&lt;&gt;"",$A40&gt;INDEX(Galerias!$M$2:$M$37,MATCH(Z$2,Galerias!$A$2:$A$37,0))),"",ROUND(INDEX(Galerias!$N$2:$N$37,MATCH(Z$2,Galerias!$A$2:$A$37,0))*INDEX(Galerias!$O$2:$O$37,MATCH(Z$2,Galerias!$A$2:$A$37,0))^($A40-1),0))</f>
        <v/>
      </c>
      <c r="AA40" s="43">
        <f>IF(AND(INDEX(Galerias!$M$2:$M$37,MATCH(AA$2,Galerias!$A$2:$A$37,0))&lt;&gt;"",$A40&gt;INDEX(Galerias!$M$2:$M$37,MATCH(AA$2,Galerias!$A$2:$A$37,0))),"",ROUND(INDEX(Galerias!$N$2:$N$37,MATCH(AA$2,Galerias!$A$2:$A$37,0))*INDEX(Galerias!$O$2:$O$37,MATCH(AA$2,Galerias!$A$2:$A$37,0))^($A40-1),0))</f>
        <v/>
      </c>
      <c r="AB40" s="43">
        <f>IF(AND(INDEX(Galerias!$M$2:$M$37,MATCH(AB$2,Galerias!$A$2:$A$37,0))&lt;&gt;"",$A40&gt;INDEX(Galerias!$M$2:$M$37,MATCH(AB$2,Galerias!$A$2:$A$37,0))),"",ROUND(INDEX(Galerias!$N$2:$N$37,MATCH(AB$2,Galerias!$A$2:$A$37,0))*INDEX(Galerias!$O$2:$O$37,MATCH(AB$2,Galerias!$A$2:$A$37,0))^($A40-1),0))</f>
        <v/>
      </c>
      <c r="AC40" s="43">
        <f>IF(AND(INDEX(Galerias!$M$2:$M$37,MATCH(AC$2,Galerias!$A$2:$A$37,0))&lt;&gt;"",$A40&gt;INDEX(Galerias!$M$2:$M$37,MATCH(AC$2,Galerias!$A$2:$A$37,0))),"",ROUND(INDEX(Galerias!$N$2:$N$37,MATCH(AC$2,Galerias!$A$2:$A$37,0))*INDEX(Galerias!$O$2:$O$37,MATCH(AC$2,Galerias!$A$2:$A$37,0))^($A40-1),0))</f>
        <v/>
      </c>
      <c r="AD40" s="43">
        <f>IF(AND(INDEX(Galerias!$M$2:$M$37,MATCH(AD$2,Galerias!$A$2:$A$37,0))&lt;&gt;"",$A40&gt;INDEX(Galerias!$M$2:$M$37,MATCH(AD$2,Galerias!$A$2:$A$37,0))),"",ROUND(INDEX(Galerias!$N$2:$N$37,MATCH(AD$2,Galerias!$A$2:$A$37,0))*INDEX(Galerias!$O$2:$O$37,MATCH(AD$2,Galerias!$A$2:$A$37,0))^($A40-1),0))</f>
        <v/>
      </c>
      <c r="AE40" s="43">
        <f>IF(AND(INDEX(Galerias!$M$2:$M$37,MATCH(AE$2,Galerias!$A$2:$A$37,0))&lt;&gt;"",$A40&gt;INDEX(Galerias!$M$2:$M$37,MATCH(AE$2,Galerias!$A$2:$A$37,0))),"",ROUND(INDEX(Galerias!$N$2:$N$37,MATCH(AE$2,Galerias!$A$2:$A$37,0))*INDEX(Galerias!$O$2:$O$37,MATCH(AE$2,Galerias!$A$2:$A$37,0))^($A40-1),0))</f>
        <v/>
      </c>
      <c r="AF40" s="43">
        <f>IF(AND(INDEX(Galerias!$M$2:$M$37,MATCH(AF$2,Galerias!$A$2:$A$37,0))&lt;&gt;"",$A40&gt;INDEX(Galerias!$M$2:$M$37,MATCH(AF$2,Galerias!$A$2:$A$37,0))),"",ROUND(INDEX(Galerias!$N$2:$N$37,MATCH(AF$2,Galerias!$A$2:$A$37,0))*INDEX(Galerias!$O$2:$O$37,MATCH(AF$2,Galerias!$A$2:$A$37,0))^($A40-1),0))</f>
        <v/>
      </c>
      <c r="AG40" s="43">
        <f>IF(AND(INDEX(Galerias!$M$2:$M$37,MATCH(AG$2,Galerias!$A$2:$A$37,0))&lt;&gt;"",$A40&gt;INDEX(Galerias!$M$2:$M$37,MATCH(AG$2,Galerias!$A$2:$A$37,0))),"",ROUND(INDEX(Galerias!$N$2:$N$37,MATCH(AG$2,Galerias!$A$2:$A$37,0))*INDEX(Galerias!$O$2:$O$37,MATCH(AG$2,Galerias!$A$2:$A$37,0))^($A40-1),0))</f>
        <v/>
      </c>
      <c r="AH40" s="43">
        <f>IF(AND(INDEX(Galerias!$M$2:$M$37,MATCH(AH$2,Galerias!$A$2:$A$37,0))&lt;&gt;"",$A40&gt;INDEX(Galerias!$M$2:$M$37,MATCH(AH$2,Galerias!$A$2:$A$37,0))),"",ROUND(INDEX(Galerias!$N$2:$N$37,MATCH(AH$2,Galerias!$A$2:$A$37,0))*INDEX(Galerias!$O$2:$O$37,MATCH(AH$2,Galerias!$A$2:$A$37,0))^($A40-1),0))</f>
        <v/>
      </c>
      <c r="AI40" s="43">
        <f>IF(AND(INDEX(Galerias!$M$2:$M$37,MATCH(AI$2,Galerias!$A$2:$A$37,0))&lt;&gt;"",$A40&gt;INDEX(Galerias!$M$2:$M$37,MATCH(AI$2,Galerias!$A$2:$A$37,0))),"",ROUND(INDEX(Galerias!$N$2:$N$37,MATCH(AI$2,Galerias!$A$2:$A$37,0))*INDEX(Galerias!$O$2:$O$37,MATCH(AI$2,Galerias!$A$2:$A$37,0))^($A40-1),0))</f>
        <v/>
      </c>
      <c r="AJ40" s="43">
        <f>IF(AND(INDEX(Galerias!$M$2:$M$37,MATCH(AJ$2,Galerias!$A$2:$A$37,0))&lt;&gt;"",$A40&gt;INDEX(Galerias!$M$2:$M$37,MATCH(AJ$2,Galerias!$A$2:$A$37,0))),"",ROUND(INDEX(Galerias!$N$2:$N$37,MATCH(AJ$2,Galerias!$A$2:$A$37,0))*INDEX(Galerias!$O$2:$O$37,MATCH(AJ$2,Galerias!$A$2:$A$37,0))^($A40-1),0))</f>
        <v/>
      </c>
      <c r="AK40" s="43">
        <f>IF(AND(INDEX(Galerias!$M$2:$M$37,MATCH(AK$2,Galerias!$A$2:$A$37,0))&lt;&gt;"",$A40&gt;INDEX(Galerias!$M$2:$M$37,MATCH(AK$2,Galerias!$A$2:$A$37,0))),"",ROUND(INDEX(Galerias!$N$2:$N$37,MATCH(AK$2,Galerias!$A$2:$A$37,0))*INDEX(Galerias!$O$2:$O$37,MATCH(AK$2,Galerias!$A$2:$A$37,0))^($A40-1),0))</f>
        <v/>
      </c>
    </row>
    <row r="41" ht="15" customHeight="1" s="23">
      <c r="A41" s="25" t="n">
        <v>39</v>
      </c>
      <c r="B41" s="43">
        <f>IF(AND(INDEX(Galerias!$M$2:$M$37,MATCH(B$2,Galerias!$A$2:$A$37,0))&lt;&gt;"",$A41&gt;INDEX(Galerias!$M$2:$M$37,MATCH(B$2,Galerias!$A$2:$A$37,0))),"",ROUND(INDEX(Galerias!$N$2:$N$37,MATCH(B$2,Galerias!$A$2:$A$37,0))*INDEX(Galerias!$O$2:$O$37,MATCH(B$2,Galerias!$A$2:$A$37,0))^($A41-1),0))</f>
        <v/>
      </c>
      <c r="C41" s="43">
        <f>IF(AND(INDEX(Galerias!$M$2:$M$37,MATCH(C$2,Galerias!$A$2:$A$37,0))&lt;&gt;"",$A41&gt;INDEX(Galerias!$M$2:$M$37,MATCH(C$2,Galerias!$A$2:$A$37,0))),"",ROUND(INDEX(Galerias!$N$2:$N$37,MATCH(C$2,Galerias!$A$2:$A$37,0))*INDEX(Galerias!$O$2:$O$37,MATCH(C$2,Galerias!$A$2:$A$37,0))^($A41-1),0))</f>
        <v/>
      </c>
      <c r="D41" s="43">
        <f>IF(AND(INDEX(Galerias!$M$2:$M$37,MATCH(D$2,Galerias!$A$2:$A$37,0))&lt;&gt;"",$A41&gt;INDEX(Galerias!$M$2:$M$37,MATCH(D$2,Galerias!$A$2:$A$37,0))),"",ROUND(INDEX(Galerias!$N$2:$N$37,MATCH(D$2,Galerias!$A$2:$A$37,0))*INDEX(Galerias!$O$2:$O$37,MATCH(D$2,Galerias!$A$2:$A$37,0))^($A41-1),0))</f>
        <v/>
      </c>
      <c r="E41" s="43">
        <f>IF(AND(INDEX(Galerias!$M$2:$M$37,MATCH(E$2,Galerias!$A$2:$A$37,0))&lt;&gt;"",$A41&gt;INDEX(Galerias!$M$2:$M$37,MATCH(E$2,Galerias!$A$2:$A$37,0))),"",ROUND(INDEX(Galerias!$N$2:$N$37,MATCH(E$2,Galerias!$A$2:$A$37,0))*INDEX(Galerias!$O$2:$O$37,MATCH(E$2,Galerias!$A$2:$A$37,0))^($A41-1),0))</f>
        <v/>
      </c>
      <c r="F41" s="43">
        <f>IF(AND(INDEX(Galerias!$M$2:$M$37,MATCH(F$2,Galerias!$A$2:$A$37,0))&lt;&gt;"",$A41&gt;INDEX(Galerias!$M$2:$M$37,MATCH(F$2,Galerias!$A$2:$A$37,0))),"",ROUND(INDEX(Galerias!$N$2:$N$37,MATCH(F$2,Galerias!$A$2:$A$37,0))*INDEX(Galerias!$O$2:$O$37,MATCH(F$2,Galerias!$A$2:$A$37,0))^($A41-1),0))</f>
        <v/>
      </c>
      <c r="G41" s="43">
        <f>IF(AND(INDEX(Galerias!$M$2:$M$37,MATCH(G$2,Galerias!$A$2:$A$37,0))&lt;&gt;"",$A41&gt;INDEX(Galerias!$M$2:$M$37,MATCH(G$2,Galerias!$A$2:$A$37,0))),"",ROUND(INDEX(Galerias!$N$2:$N$37,MATCH(G$2,Galerias!$A$2:$A$37,0))*INDEX(Galerias!$O$2:$O$37,MATCH(G$2,Galerias!$A$2:$A$37,0))^($A41-1),0))</f>
        <v/>
      </c>
      <c r="H41" s="43">
        <f>IF(AND(INDEX(Galerias!$M$2:$M$37,MATCH(H$2,Galerias!$A$2:$A$37,0))&lt;&gt;"",$A41&gt;INDEX(Galerias!$M$2:$M$37,MATCH(H$2,Galerias!$A$2:$A$37,0))),"",ROUND(INDEX(Galerias!$N$2:$N$37,MATCH(H$2,Galerias!$A$2:$A$37,0))*INDEX(Galerias!$O$2:$O$37,MATCH(H$2,Galerias!$A$2:$A$37,0))^($A41-1),0))</f>
        <v/>
      </c>
      <c r="I41" s="43">
        <f>IF(AND(INDEX(Galerias!$M$2:$M$37,MATCH(I$2,Galerias!$A$2:$A$37,0))&lt;&gt;"",$A41&gt;INDEX(Galerias!$M$2:$M$37,MATCH(I$2,Galerias!$A$2:$A$37,0))),"",ROUND(INDEX(Galerias!$N$2:$N$37,MATCH(I$2,Galerias!$A$2:$A$37,0))*INDEX(Galerias!$O$2:$O$37,MATCH(I$2,Galerias!$A$2:$A$37,0))^($A41-1),0))</f>
        <v/>
      </c>
      <c r="J41" s="43">
        <f>IF(AND(INDEX(Galerias!$M$2:$M$37,MATCH(J$2,Galerias!$A$2:$A$37,0))&lt;&gt;"",$A41&gt;INDEX(Galerias!$M$2:$M$37,MATCH(J$2,Galerias!$A$2:$A$37,0))),"",ROUND(INDEX(Galerias!$N$2:$N$37,MATCH(J$2,Galerias!$A$2:$A$37,0))*INDEX(Galerias!$O$2:$O$37,MATCH(J$2,Galerias!$A$2:$A$37,0))^($A41-1),0))</f>
        <v/>
      </c>
      <c r="K41" s="43">
        <f>IF(AND(INDEX(Galerias!$M$2:$M$37,MATCH(K$2,Galerias!$A$2:$A$37,0))&lt;&gt;"",$A41&gt;INDEX(Galerias!$M$2:$M$37,MATCH(K$2,Galerias!$A$2:$A$37,0))),"",ROUND(INDEX(Galerias!$N$2:$N$37,MATCH(K$2,Galerias!$A$2:$A$37,0))*INDEX(Galerias!$O$2:$O$37,MATCH(K$2,Galerias!$A$2:$A$37,0))^($A41-1),0))</f>
        <v/>
      </c>
      <c r="L41" s="43">
        <f>IF(AND(INDEX(Galerias!$M$2:$M$37,MATCH(L$2,Galerias!$A$2:$A$37,0))&lt;&gt;"",$A41&gt;INDEX(Galerias!$M$2:$M$37,MATCH(L$2,Galerias!$A$2:$A$37,0))),"",ROUND(INDEX(Galerias!$N$2:$N$37,MATCH(L$2,Galerias!$A$2:$A$37,0))*INDEX(Galerias!$O$2:$O$37,MATCH(L$2,Galerias!$A$2:$A$37,0))^($A41-1),0))</f>
        <v/>
      </c>
      <c r="M41" s="43">
        <f>IF(AND(INDEX(Galerias!$M$2:$M$37,MATCH(M$2,Galerias!$A$2:$A$37,0))&lt;&gt;"",$A41&gt;INDEX(Galerias!$M$2:$M$37,MATCH(M$2,Galerias!$A$2:$A$37,0))),"",ROUND(INDEX(Galerias!$N$2:$N$37,MATCH(M$2,Galerias!$A$2:$A$37,0))*INDEX(Galerias!$O$2:$O$37,MATCH(M$2,Galerias!$A$2:$A$37,0))^($A41-1),0))</f>
        <v/>
      </c>
      <c r="N41" s="43">
        <f>IF(AND(INDEX(Galerias!$M$2:$M$37,MATCH(N$2,Galerias!$A$2:$A$37,0))&lt;&gt;"",$A41&gt;INDEX(Galerias!$M$2:$M$37,MATCH(N$2,Galerias!$A$2:$A$37,0))),"",ROUND(INDEX(Galerias!$N$2:$N$37,MATCH(N$2,Galerias!$A$2:$A$37,0))*INDEX(Galerias!$O$2:$O$37,MATCH(N$2,Galerias!$A$2:$A$37,0))^($A41-1),0))</f>
        <v/>
      </c>
      <c r="O41" s="43">
        <f>IF(AND(INDEX(Galerias!$M$2:$M$37,MATCH(O$2,Galerias!$A$2:$A$37,0))&lt;&gt;"",$A41&gt;INDEX(Galerias!$M$2:$M$37,MATCH(O$2,Galerias!$A$2:$A$37,0))),"",ROUND(INDEX(Galerias!$N$2:$N$37,MATCH(O$2,Galerias!$A$2:$A$37,0))*INDEX(Galerias!$O$2:$O$37,MATCH(O$2,Galerias!$A$2:$A$37,0))^($A41-1),0))</f>
        <v/>
      </c>
      <c r="P41" s="43">
        <f>IF(AND(INDEX(Galerias!$M$2:$M$37,MATCH(P$2,Galerias!$A$2:$A$37,0))&lt;&gt;"",$A41&gt;INDEX(Galerias!$M$2:$M$37,MATCH(P$2,Galerias!$A$2:$A$37,0))),"",ROUND(INDEX(Galerias!$N$2:$N$37,MATCH(P$2,Galerias!$A$2:$A$37,0))*INDEX(Galerias!$O$2:$O$37,MATCH(P$2,Galerias!$A$2:$A$37,0))^($A41-1),0))</f>
        <v/>
      </c>
      <c r="Q41" s="43">
        <f>IF(AND(INDEX(Galerias!$M$2:$M$37,MATCH(Q$2,Galerias!$A$2:$A$37,0))&lt;&gt;"",$A41&gt;INDEX(Galerias!$M$2:$M$37,MATCH(Q$2,Galerias!$A$2:$A$37,0))),"",ROUND(INDEX(Galerias!$N$2:$N$37,MATCH(Q$2,Galerias!$A$2:$A$37,0))*INDEX(Galerias!$O$2:$O$37,MATCH(Q$2,Galerias!$A$2:$A$37,0))^($A41-1),0))</f>
        <v/>
      </c>
      <c r="R41" s="43">
        <f>IF(AND(INDEX(Galerias!$M$2:$M$37,MATCH(R$2,Galerias!$A$2:$A$37,0))&lt;&gt;"",$A41&gt;INDEX(Galerias!$M$2:$M$37,MATCH(R$2,Galerias!$A$2:$A$37,0))),"",ROUND(INDEX(Galerias!$N$2:$N$37,MATCH(R$2,Galerias!$A$2:$A$37,0))*INDEX(Galerias!$O$2:$O$37,MATCH(R$2,Galerias!$A$2:$A$37,0))^($A41-1),0))</f>
        <v/>
      </c>
      <c r="S41" s="43">
        <f>IF(AND(INDEX(Galerias!$M$2:$M$37,MATCH(S$2,Galerias!$A$2:$A$37,0))&lt;&gt;"",$A41&gt;INDEX(Galerias!$M$2:$M$37,MATCH(S$2,Galerias!$A$2:$A$37,0))),"",ROUND(INDEX(Galerias!$N$2:$N$37,MATCH(S$2,Galerias!$A$2:$A$37,0))*INDEX(Galerias!$O$2:$O$37,MATCH(S$2,Galerias!$A$2:$A$37,0))^($A41-1),0))</f>
        <v/>
      </c>
      <c r="T41" s="43">
        <f>IF(AND(INDEX(Galerias!$M$2:$M$37,MATCH(T$2,Galerias!$A$2:$A$37,0))&lt;&gt;"",$A41&gt;INDEX(Galerias!$M$2:$M$37,MATCH(T$2,Galerias!$A$2:$A$37,0))),"",ROUND(INDEX(Galerias!$N$2:$N$37,MATCH(T$2,Galerias!$A$2:$A$37,0))*INDEX(Galerias!$O$2:$O$37,MATCH(T$2,Galerias!$A$2:$A$37,0))^($A41-1),0))</f>
        <v/>
      </c>
      <c r="U41" s="43">
        <f>IF(AND(INDEX(Galerias!$M$2:$M$37,MATCH(U$2,Galerias!$A$2:$A$37,0))&lt;&gt;"",$A41&gt;INDEX(Galerias!$M$2:$M$37,MATCH(U$2,Galerias!$A$2:$A$37,0))),"",ROUND(INDEX(Galerias!$N$2:$N$37,MATCH(U$2,Galerias!$A$2:$A$37,0))*INDEX(Galerias!$O$2:$O$37,MATCH(U$2,Galerias!$A$2:$A$37,0))^($A41-1),0))</f>
        <v/>
      </c>
      <c r="V41" s="43">
        <f>IF(AND(INDEX(Galerias!$M$2:$M$37,MATCH(V$2,Galerias!$A$2:$A$37,0))&lt;&gt;"",$A41&gt;INDEX(Galerias!$M$2:$M$37,MATCH(V$2,Galerias!$A$2:$A$37,0))),"",ROUND(INDEX(Galerias!$N$2:$N$37,MATCH(V$2,Galerias!$A$2:$A$37,0))*INDEX(Galerias!$O$2:$O$37,MATCH(V$2,Galerias!$A$2:$A$37,0))^($A41-1),0))</f>
        <v/>
      </c>
      <c r="W41" s="43">
        <f>IF(AND(INDEX(Galerias!$M$2:$M$37,MATCH(W$2,Galerias!$A$2:$A$37,0))&lt;&gt;"",$A41&gt;INDEX(Galerias!$M$2:$M$37,MATCH(W$2,Galerias!$A$2:$A$37,0))),"",ROUND(INDEX(Galerias!$N$2:$N$37,MATCH(W$2,Galerias!$A$2:$A$37,0))*INDEX(Galerias!$O$2:$O$37,MATCH(W$2,Galerias!$A$2:$A$37,0))^($A41-1),0))</f>
        <v/>
      </c>
      <c r="X41" s="43">
        <f>IF(AND(INDEX(Galerias!$M$2:$M$37,MATCH(X$2,Galerias!$A$2:$A$37,0))&lt;&gt;"",$A41&gt;INDEX(Galerias!$M$2:$M$37,MATCH(X$2,Galerias!$A$2:$A$37,0))),"",ROUND(INDEX(Galerias!$N$2:$N$37,MATCH(X$2,Galerias!$A$2:$A$37,0))*INDEX(Galerias!$O$2:$O$37,MATCH(X$2,Galerias!$A$2:$A$37,0))^($A41-1),0))</f>
        <v/>
      </c>
      <c r="Y41" s="43">
        <f>IF(AND(INDEX(Galerias!$M$2:$M$37,MATCH(Y$2,Galerias!$A$2:$A$37,0))&lt;&gt;"",$A41&gt;INDEX(Galerias!$M$2:$M$37,MATCH(Y$2,Galerias!$A$2:$A$37,0))),"",ROUND(INDEX(Galerias!$N$2:$N$37,MATCH(Y$2,Galerias!$A$2:$A$37,0))*INDEX(Galerias!$O$2:$O$37,MATCH(Y$2,Galerias!$A$2:$A$37,0))^($A41-1),0))</f>
        <v/>
      </c>
      <c r="Z41" s="43">
        <f>IF(AND(INDEX(Galerias!$M$2:$M$37,MATCH(Z$2,Galerias!$A$2:$A$37,0))&lt;&gt;"",$A41&gt;INDEX(Galerias!$M$2:$M$37,MATCH(Z$2,Galerias!$A$2:$A$37,0))),"",ROUND(INDEX(Galerias!$N$2:$N$37,MATCH(Z$2,Galerias!$A$2:$A$37,0))*INDEX(Galerias!$O$2:$O$37,MATCH(Z$2,Galerias!$A$2:$A$37,0))^($A41-1),0))</f>
        <v/>
      </c>
      <c r="AA41" s="43">
        <f>IF(AND(INDEX(Galerias!$M$2:$M$37,MATCH(AA$2,Galerias!$A$2:$A$37,0))&lt;&gt;"",$A41&gt;INDEX(Galerias!$M$2:$M$37,MATCH(AA$2,Galerias!$A$2:$A$37,0))),"",ROUND(INDEX(Galerias!$N$2:$N$37,MATCH(AA$2,Galerias!$A$2:$A$37,0))*INDEX(Galerias!$O$2:$O$37,MATCH(AA$2,Galerias!$A$2:$A$37,0))^($A41-1),0))</f>
        <v/>
      </c>
      <c r="AB41" s="43">
        <f>IF(AND(INDEX(Galerias!$M$2:$M$37,MATCH(AB$2,Galerias!$A$2:$A$37,0))&lt;&gt;"",$A41&gt;INDEX(Galerias!$M$2:$M$37,MATCH(AB$2,Galerias!$A$2:$A$37,0))),"",ROUND(INDEX(Galerias!$N$2:$N$37,MATCH(AB$2,Galerias!$A$2:$A$37,0))*INDEX(Galerias!$O$2:$O$37,MATCH(AB$2,Galerias!$A$2:$A$37,0))^($A41-1),0))</f>
        <v/>
      </c>
      <c r="AC41" s="43">
        <f>IF(AND(INDEX(Galerias!$M$2:$M$37,MATCH(AC$2,Galerias!$A$2:$A$37,0))&lt;&gt;"",$A41&gt;INDEX(Galerias!$M$2:$M$37,MATCH(AC$2,Galerias!$A$2:$A$37,0))),"",ROUND(INDEX(Galerias!$N$2:$N$37,MATCH(AC$2,Galerias!$A$2:$A$37,0))*INDEX(Galerias!$O$2:$O$37,MATCH(AC$2,Galerias!$A$2:$A$37,0))^($A41-1),0))</f>
        <v/>
      </c>
      <c r="AD41" s="43">
        <f>IF(AND(INDEX(Galerias!$M$2:$M$37,MATCH(AD$2,Galerias!$A$2:$A$37,0))&lt;&gt;"",$A41&gt;INDEX(Galerias!$M$2:$M$37,MATCH(AD$2,Galerias!$A$2:$A$37,0))),"",ROUND(INDEX(Galerias!$N$2:$N$37,MATCH(AD$2,Galerias!$A$2:$A$37,0))*INDEX(Galerias!$O$2:$O$37,MATCH(AD$2,Galerias!$A$2:$A$37,0))^($A41-1),0))</f>
        <v/>
      </c>
      <c r="AE41" s="43">
        <f>IF(AND(INDEX(Galerias!$M$2:$M$37,MATCH(AE$2,Galerias!$A$2:$A$37,0))&lt;&gt;"",$A41&gt;INDEX(Galerias!$M$2:$M$37,MATCH(AE$2,Galerias!$A$2:$A$37,0))),"",ROUND(INDEX(Galerias!$N$2:$N$37,MATCH(AE$2,Galerias!$A$2:$A$37,0))*INDEX(Galerias!$O$2:$O$37,MATCH(AE$2,Galerias!$A$2:$A$37,0))^($A41-1),0))</f>
        <v/>
      </c>
      <c r="AF41" s="43">
        <f>IF(AND(INDEX(Galerias!$M$2:$M$37,MATCH(AF$2,Galerias!$A$2:$A$37,0))&lt;&gt;"",$A41&gt;INDEX(Galerias!$M$2:$M$37,MATCH(AF$2,Galerias!$A$2:$A$37,0))),"",ROUND(INDEX(Galerias!$N$2:$N$37,MATCH(AF$2,Galerias!$A$2:$A$37,0))*INDEX(Galerias!$O$2:$O$37,MATCH(AF$2,Galerias!$A$2:$A$37,0))^($A41-1),0))</f>
        <v/>
      </c>
      <c r="AG41" s="43">
        <f>IF(AND(INDEX(Galerias!$M$2:$M$37,MATCH(AG$2,Galerias!$A$2:$A$37,0))&lt;&gt;"",$A41&gt;INDEX(Galerias!$M$2:$M$37,MATCH(AG$2,Galerias!$A$2:$A$37,0))),"",ROUND(INDEX(Galerias!$N$2:$N$37,MATCH(AG$2,Galerias!$A$2:$A$37,0))*INDEX(Galerias!$O$2:$O$37,MATCH(AG$2,Galerias!$A$2:$A$37,0))^($A41-1),0))</f>
        <v/>
      </c>
      <c r="AH41" s="43">
        <f>IF(AND(INDEX(Galerias!$M$2:$M$37,MATCH(AH$2,Galerias!$A$2:$A$37,0))&lt;&gt;"",$A41&gt;INDEX(Galerias!$M$2:$M$37,MATCH(AH$2,Galerias!$A$2:$A$37,0))),"",ROUND(INDEX(Galerias!$N$2:$N$37,MATCH(AH$2,Galerias!$A$2:$A$37,0))*INDEX(Galerias!$O$2:$O$37,MATCH(AH$2,Galerias!$A$2:$A$37,0))^($A41-1),0))</f>
        <v/>
      </c>
      <c r="AI41" s="43">
        <f>IF(AND(INDEX(Galerias!$M$2:$M$37,MATCH(AI$2,Galerias!$A$2:$A$37,0))&lt;&gt;"",$A41&gt;INDEX(Galerias!$M$2:$M$37,MATCH(AI$2,Galerias!$A$2:$A$37,0))),"",ROUND(INDEX(Galerias!$N$2:$N$37,MATCH(AI$2,Galerias!$A$2:$A$37,0))*INDEX(Galerias!$O$2:$O$37,MATCH(AI$2,Galerias!$A$2:$A$37,0))^($A41-1),0))</f>
        <v/>
      </c>
      <c r="AJ41" s="43">
        <f>IF(AND(INDEX(Galerias!$M$2:$M$37,MATCH(AJ$2,Galerias!$A$2:$A$37,0))&lt;&gt;"",$A41&gt;INDEX(Galerias!$M$2:$M$37,MATCH(AJ$2,Galerias!$A$2:$A$37,0))),"",ROUND(INDEX(Galerias!$N$2:$N$37,MATCH(AJ$2,Galerias!$A$2:$A$37,0))*INDEX(Galerias!$O$2:$O$37,MATCH(AJ$2,Galerias!$A$2:$A$37,0))^($A41-1),0))</f>
        <v/>
      </c>
      <c r="AK41" s="43">
        <f>IF(AND(INDEX(Galerias!$M$2:$M$37,MATCH(AK$2,Galerias!$A$2:$A$37,0))&lt;&gt;"",$A41&gt;INDEX(Galerias!$M$2:$M$37,MATCH(AK$2,Galerias!$A$2:$A$37,0))),"",ROUND(INDEX(Galerias!$N$2:$N$37,MATCH(AK$2,Galerias!$A$2:$A$37,0))*INDEX(Galerias!$O$2:$O$37,MATCH(AK$2,Galerias!$A$2:$A$37,0))^($A41-1),0))</f>
        <v/>
      </c>
    </row>
    <row r="42" ht="15" customHeight="1" s="23">
      <c r="A42" s="25" t="n">
        <v>40</v>
      </c>
      <c r="B42" s="43">
        <f>IF(AND(INDEX(Galerias!$M$2:$M$37,MATCH(B$2,Galerias!$A$2:$A$37,0))&lt;&gt;"",$A42&gt;INDEX(Galerias!$M$2:$M$37,MATCH(B$2,Galerias!$A$2:$A$37,0))),"",ROUND(INDEX(Galerias!$N$2:$N$37,MATCH(B$2,Galerias!$A$2:$A$37,0))*INDEX(Galerias!$O$2:$O$37,MATCH(B$2,Galerias!$A$2:$A$37,0))^($A42-1),0))</f>
        <v/>
      </c>
      <c r="C42" s="43">
        <f>IF(AND(INDEX(Galerias!$M$2:$M$37,MATCH(C$2,Galerias!$A$2:$A$37,0))&lt;&gt;"",$A42&gt;INDEX(Galerias!$M$2:$M$37,MATCH(C$2,Galerias!$A$2:$A$37,0))),"",ROUND(INDEX(Galerias!$N$2:$N$37,MATCH(C$2,Galerias!$A$2:$A$37,0))*INDEX(Galerias!$O$2:$O$37,MATCH(C$2,Galerias!$A$2:$A$37,0))^($A42-1),0))</f>
        <v/>
      </c>
      <c r="D42" s="43">
        <f>IF(AND(INDEX(Galerias!$M$2:$M$37,MATCH(D$2,Galerias!$A$2:$A$37,0))&lt;&gt;"",$A42&gt;INDEX(Galerias!$M$2:$M$37,MATCH(D$2,Galerias!$A$2:$A$37,0))),"",ROUND(INDEX(Galerias!$N$2:$N$37,MATCH(D$2,Galerias!$A$2:$A$37,0))*INDEX(Galerias!$O$2:$O$37,MATCH(D$2,Galerias!$A$2:$A$37,0))^($A42-1),0))</f>
        <v/>
      </c>
      <c r="E42" s="43">
        <f>IF(AND(INDEX(Galerias!$M$2:$M$37,MATCH(E$2,Galerias!$A$2:$A$37,0))&lt;&gt;"",$A42&gt;INDEX(Galerias!$M$2:$M$37,MATCH(E$2,Galerias!$A$2:$A$37,0))),"",ROUND(INDEX(Galerias!$N$2:$N$37,MATCH(E$2,Galerias!$A$2:$A$37,0))*INDEX(Galerias!$O$2:$O$37,MATCH(E$2,Galerias!$A$2:$A$37,0))^($A42-1),0))</f>
        <v/>
      </c>
      <c r="F42" s="43">
        <f>IF(AND(INDEX(Galerias!$M$2:$M$37,MATCH(F$2,Galerias!$A$2:$A$37,0))&lt;&gt;"",$A42&gt;INDEX(Galerias!$M$2:$M$37,MATCH(F$2,Galerias!$A$2:$A$37,0))),"",ROUND(INDEX(Galerias!$N$2:$N$37,MATCH(F$2,Galerias!$A$2:$A$37,0))*INDEX(Galerias!$O$2:$O$37,MATCH(F$2,Galerias!$A$2:$A$37,0))^($A42-1),0))</f>
        <v/>
      </c>
      <c r="G42" s="43">
        <f>IF(AND(INDEX(Galerias!$M$2:$M$37,MATCH(G$2,Galerias!$A$2:$A$37,0))&lt;&gt;"",$A42&gt;INDEX(Galerias!$M$2:$M$37,MATCH(G$2,Galerias!$A$2:$A$37,0))),"",ROUND(INDEX(Galerias!$N$2:$N$37,MATCH(G$2,Galerias!$A$2:$A$37,0))*INDEX(Galerias!$O$2:$O$37,MATCH(G$2,Galerias!$A$2:$A$37,0))^($A42-1),0))</f>
        <v/>
      </c>
      <c r="H42" s="43">
        <f>IF(AND(INDEX(Galerias!$M$2:$M$37,MATCH(H$2,Galerias!$A$2:$A$37,0))&lt;&gt;"",$A42&gt;INDEX(Galerias!$M$2:$M$37,MATCH(H$2,Galerias!$A$2:$A$37,0))),"",ROUND(INDEX(Galerias!$N$2:$N$37,MATCH(H$2,Galerias!$A$2:$A$37,0))*INDEX(Galerias!$O$2:$O$37,MATCH(H$2,Galerias!$A$2:$A$37,0))^($A42-1),0))</f>
        <v/>
      </c>
      <c r="I42" s="43">
        <f>IF(AND(INDEX(Galerias!$M$2:$M$37,MATCH(I$2,Galerias!$A$2:$A$37,0))&lt;&gt;"",$A42&gt;INDEX(Galerias!$M$2:$M$37,MATCH(I$2,Galerias!$A$2:$A$37,0))),"",ROUND(INDEX(Galerias!$N$2:$N$37,MATCH(I$2,Galerias!$A$2:$A$37,0))*INDEX(Galerias!$O$2:$O$37,MATCH(I$2,Galerias!$A$2:$A$37,0))^($A42-1),0))</f>
        <v/>
      </c>
      <c r="J42" s="43">
        <f>IF(AND(INDEX(Galerias!$M$2:$M$37,MATCH(J$2,Galerias!$A$2:$A$37,0))&lt;&gt;"",$A42&gt;INDEX(Galerias!$M$2:$M$37,MATCH(J$2,Galerias!$A$2:$A$37,0))),"",ROUND(INDEX(Galerias!$N$2:$N$37,MATCH(J$2,Galerias!$A$2:$A$37,0))*INDEX(Galerias!$O$2:$O$37,MATCH(J$2,Galerias!$A$2:$A$37,0))^($A42-1),0))</f>
        <v/>
      </c>
      <c r="K42" s="43">
        <f>IF(AND(INDEX(Galerias!$M$2:$M$37,MATCH(K$2,Galerias!$A$2:$A$37,0))&lt;&gt;"",$A42&gt;INDEX(Galerias!$M$2:$M$37,MATCH(K$2,Galerias!$A$2:$A$37,0))),"",ROUND(INDEX(Galerias!$N$2:$N$37,MATCH(K$2,Galerias!$A$2:$A$37,0))*INDEX(Galerias!$O$2:$O$37,MATCH(K$2,Galerias!$A$2:$A$37,0))^($A42-1),0))</f>
        <v/>
      </c>
      <c r="L42" s="43">
        <f>IF(AND(INDEX(Galerias!$M$2:$M$37,MATCH(L$2,Galerias!$A$2:$A$37,0))&lt;&gt;"",$A42&gt;INDEX(Galerias!$M$2:$M$37,MATCH(L$2,Galerias!$A$2:$A$37,0))),"",ROUND(INDEX(Galerias!$N$2:$N$37,MATCH(L$2,Galerias!$A$2:$A$37,0))*INDEX(Galerias!$O$2:$O$37,MATCH(L$2,Galerias!$A$2:$A$37,0))^($A42-1),0))</f>
        <v/>
      </c>
      <c r="M42" s="43">
        <f>IF(AND(INDEX(Galerias!$M$2:$M$37,MATCH(M$2,Galerias!$A$2:$A$37,0))&lt;&gt;"",$A42&gt;INDEX(Galerias!$M$2:$M$37,MATCH(M$2,Galerias!$A$2:$A$37,0))),"",ROUND(INDEX(Galerias!$N$2:$N$37,MATCH(M$2,Galerias!$A$2:$A$37,0))*INDEX(Galerias!$O$2:$O$37,MATCH(M$2,Galerias!$A$2:$A$37,0))^($A42-1),0))</f>
        <v/>
      </c>
      <c r="N42" s="43">
        <f>IF(AND(INDEX(Galerias!$M$2:$M$37,MATCH(N$2,Galerias!$A$2:$A$37,0))&lt;&gt;"",$A42&gt;INDEX(Galerias!$M$2:$M$37,MATCH(N$2,Galerias!$A$2:$A$37,0))),"",ROUND(INDEX(Galerias!$N$2:$N$37,MATCH(N$2,Galerias!$A$2:$A$37,0))*INDEX(Galerias!$O$2:$O$37,MATCH(N$2,Galerias!$A$2:$A$37,0))^($A42-1),0))</f>
        <v/>
      </c>
      <c r="O42" s="43">
        <f>IF(AND(INDEX(Galerias!$M$2:$M$37,MATCH(O$2,Galerias!$A$2:$A$37,0))&lt;&gt;"",$A42&gt;INDEX(Galerias!$M$2:$M$37,MATCH(O$2,Galerias!$A$2:$A$37,0))),"",ROUND(INDEX(Galerias!$N$2:$N$37,MATCH(O$2,Galerias!$A$2:$A$37,0))*INDEX(Galerias!$O$2:$O$37,MATCH(O$2,Galerias!$A$2:$A$37,0))^($A42-1),0))</f>
        <v/>
      </c>
      <c r="P42" s="43">
        <f>IF(AND(INDEX(Galerias!$M$2:$M$37,MATCH(P$2,Galerias!$A$2:$A$37,0))&lt;&gt;"",$A42&gt;INDEX(Galerias!$M$2:$M$37,MATCH(P$2,Galerias!$A$2:$A$37,0))),"",ROUND(INDEX(Galerias!$N$2:$N$37,MATCH(P$2,Galerias!$A$2:$A$37,0))*INDEX(Galerias!$O$2:$O$37,MATCH(P$2,Galerias!$A$2:$A$37,0))^($A42-1),0))</f>
        <v/>
      </c>
      <c r="Q42" s="43">
        <f>IF(AND(INDEX(Galerias!$M$2:$M$37,MATCH(Q$2,Galerias!$A$2:$A$37,0))&lt;&gt;"",$A42&gt;INDEX(Galerias!$M$2:$M$37,MATCH(Q$2,Galerias!$A$2:$A$37,0))),"",ROUND(INDEX(Galerias!$N$2:$N$37,MATCH(Q$2,Galerias!$A$2:$A$37,0))*INDEX(Galerias!$O$2:$O$37,MATCH(Q$2,Galerias!$A$2:$A$37,0))^($A42-1),0))</f>
        <v/>
      </c>
      <c r="R42" s="43">
        <f>IF(AND(INDEX(Galerias!$M$2:$M$37,MATCH(R$2,Galerias!$A$2:$A$37,0))&lt;&gt;"",$A42&gt;INDEX(Galerias!$M$2:$M$37,MATCH(R$2,Galerias!$A$2:$A$37,0))),"",ROUND(INDEX(Galerias!$N$2:$N$37,MATCH(R$2,Galerias!$A$2:$A$37,0))*INDEX(Galerias!$O$2:$O$37,MATCH(R$2,Galerias!$A$2:$A$37,0))^($A42-1),0))</f>
        <v/>
      </c>
      <c r="S42" s="43">
        <f>IF(AND(INDEX(Galerias!$M$2:$M$37,MATCH(S$2,Galerias!$A$2:$A$37,0))&lt;&gt;"",$A42&gt;INDEX(Galerias!$M$2:$M$37,MATCH(S$2,Galerias!$A$2:$A$37,0))),"",ROUND(INDEX(Galerias!$N$2:$N$37,MATCH(S$2,Galerias!$A$2:$A$37,0))*INDEX(Galerias!$O$2:$O$37,MATCH(S$2,Galerias!$A$2:$A$37,0))^($A42-1),0))</f>
        <v/>
      </c>
      <c r="T42" s="43">
        <f>IF(AND(INDEX(Galerias!$M$2:$M$37,MATCH(T$2,Galerias!$A$2:$A$37,0))&lt;&gt;"",$A42&gt;INDEX(Galerias!$M$2:$M$37,MATCH(T$2,Galerias!$A$2:$A$37,0))),"",ROUND(INDEX(Galerias!$N$2:$N$37,MATCH(T$2,Galerias!$A$2:$A$37,0))*INDEX(Galerias!$O$2:$O$37,MATCH(T$2,Galerias!$A$2:$A$37,0))^($A42-1),0))</f>
        <v/>
      </c>
      <c r="U42" s="43">
        <f>IF(AND(INDEX(Galerias!$M$2:$M$37,MATCH(U$2,Galerias!$A$2:$A$37,0))&lt;&gt;"",$A42&gt;INDEX(Galerias!$M$2:$M$37,MATCH(U$2,Galerias!$A$2:$A$37,0))),"",ROUND(INDEX(Galerias!$N$2:$N$37,MATCH(U$2,Galerias!$A$2:$A$37,0))*INDEX(Galerias!$O$2:$O$37,MATCH(U$2,Galerias!$A$2:$A$37,0))^($A42-1),0))</f>
        <v/>
      </c>
      <c r="V42" s="43">
        <f>IF(AND(INDEX(Galerias!$M$2:$M$37,MATCH(V$2,Galerias!$A$2:$A$37,0))&lt;&gt;"",$A42&gt;INDEX(Galerias!$M$2:$M$37,MATCH(V$2,Galerias!$A$2:$A$37,0))),"",ROUND(INDEX(Galerias!$N$2:$N$37,MATCH(V$2,Galerias!$A$2:$A$37,0))*INDEX(Galerias!$O$2:$O$37,MATCH(V$2,Galerias!$A$2:$A$37,0))^($A42-1),0))</f>
        <v/>
      </c>
      <c r="W42" s="43">
        <f>IF(AND(INDEX(Galerias!$M$2:$M$37,MATCH(W$2,Galerias!$A$2:$A$37,0))&lt;&gt;"",$A42&gt;INDEX(Galerias!$M$2:$M$37,MATCH(W$2,Galerias!$A$2:$A$37,0))),"",ROUND(INDEX(Galerias!$N$2:$N$37,MATCH(W$2,Galerias!$A$2:$A$37,0))*INDEX(Galerias!$O$2:$O$37,MATCH(W$2,Galerias!$A$2:$A$37,0))^($A42-1),0))</f>
        <v/>
      </c>
      <c r="X42" s="43">
        <f>IF(AND(INDEX(Galerias!$M$2:$M$37,MATCH(X$2,Galerias!$A$2:$A$37,0))&lt;&gt;"",$A42&gt;INDEX(Galerias!$M$2:$M$37,MATCH(X$2,Galerias!$A$2:$A$37,0))),"",ROUND(INDEX(Galerias!$N$2:$N$37,MATCH(X$2,Galerias!$A$2:$A$37,0))*INDEX(Galerias!$O$2:$O$37,MATCH(X$2,Galerias!$A$2:$A$37,0))^($A42-1),0))</f>
        <v/>
      </c>
      <c r="Y42" s="43">
        <f>IF(AND(INDEX(Galerias!$M$2:$M$37,MATCH(Y$2,Galerias!$A$2:$A$37,0))&lt;&gt;"",$A42&gt;INDEX(Galerias!$M$2:$M$37,MATCH(Y$2,Galerias!$A$2:$A$37,0))),"",ROUND(INDEX(Galerias!$N$2:$N$37,MATCH(Y$2,Galerias!$A$2:$A$37,0))*INDEX(Galerias!$O$2:$O$37,MATCH(Y$2,Galerias!$A$2:$A$37,0))^($A42-1),0))</f>
        <v/>
      </c>
      <c r="Z42" s="43">
        <f>IF(AND(INDEX(Galerias!$M$2:$M$37,MATCH(Z$2,Galerias!$A$2:$A$37,0))&lt;&gt;"",$A42&gt;INDEX(Galerias!$M$2:$M$37,MATCH(Z$2,Galerias!$A$2:$A$37,0))),"",ROUND(INDEX(Galerias!$N$2:$N$37,MATCH(Z$2,Galerias!$A$2:$A$37,0))*INDEX(Galerias!$O$2:$O$37,MATCH(Z$2,Galerias!$A$2:$A$37,0))^($A42-1),0))</f>
        <v/>
      </c>
      <c r="AA42" s="43">
        <f>IF(AND(INDEX(Galerias!$M$2:$M$37,MATCH(AA$2,Galerias!$A$2:$A$37,0))&lt;&gt;"",$A42&gt;INDEX(Galerias!$M$2:$M$37,MATCH(AA$2,Galerias!$A$2:$A$37,0))),"",ROUND(INDEX(Galerias!$N$2:$N$37,MATCH(AA$2,Galerias!$A$2:$A$37,0))*INDEX(Galerias!$O$2:$O$37,MATCH(AA$2,Galerias!$A$2:$A$37,0))^($A42-1),0))</f>
        <v/>
      </c>
      <c r="AB42" s="43">
        <f>IF(AND(INDEX(Galerias!$M$2:$M$37,MATCH(AB$2,Galerias!$A$2:$A$37,0))&lt;&gt;"",$A42&gt;INDEX(Galerias!$M$2:$M$37,MATCH(AB$2,Galerias!$A$2:$A$37,0))),"",ROUND(INDEX(Galerias!$N$2:$N$37,MATCH(AB$2,Galerias!$A$2:$A$37,0))*INDEX(Galerias!$O$2:$O$37,MATCH(AB$2,Galerias!$A$2:$A$37,0))^($A42-1),0))</f>
        <v/>
      </c>
      <c r="AC42" s="43">
        <f>IF(AND(INDEX(Galerias!$M$2:$M$37,MATCH(AC$2,Galerias!$A$2:$A$37,0))&lt;&gt;"",$A42&gt;INDEX(Galerias!$M$2:$M$37,MATCH(AC$2,Galerias!$A$2:$A$37,0))),"",ROUND(INDEX(Galerias!$N$2:$N$37,MATCH(AC$2,Galerias!$A$2:$A$37,0))*INDEX(Galerias!$O$2:$O$37,MATCH(AC$2,Galerias!$A$2:$A$37,0))^($A42-1),0))</f>
        <v/>
      </c>
      <c r="AD42" s="43">
        <f>IF(AND(INDEX(Galerias!$M$2:$M$37,MATCH(AD$2,Galerias!$A$2:$A$37,0))&lt;&gt;"",$A42&gt;INDEX(Galerias!$M$2:$M$37,MATCH(AD$2,Galerias!$A$2:$A$37,0))),"",ROUND(INDEX(Galerias!$N$2:$N$37,MATCH(AD$2,Galerias!$A$2:$A$37,0))*INDEX(Galerias!$O$2:$O$37,MATCH(AD$2,Galerias!$A$2:$A$37,0))^($A42-1),0))</f>
        <v/>
      </c>
      <c r="AE42" s="43">
        <f>IF(AND(INDEX(Galerias!$M$2:$M$37,MATCH(AE$2,Galerias!$A$2:$A$37,0))&lt;&gt;"",$A42&gt;INDEX(Galerias!$M$2:$M$37,MATCH(AE$2,Galerias!$A$2:$A$37,0))),"",ROUND(INDEX(Galerias!$N$2:$N$37,MATCH(AE$2,Galerias!$A$2:$A$37,0))*INDEX(Galerias!$O$2:$O$37,MATCH(AE$2,Galerias!$A$2:$A$37,0))^($A42-1),0))</f>
        <v/>
      </c>
      <c r="AF42" s="43">
        <f>IF(AND(INDEX(Galerias!$M$2:$M$37,MATCH(AF$2,Galerias!$A$2:$A$37,0))&lt;&gt;"",$A42&gt;INDEX(Galerias!$M$2:$M$37,MATCH(AF$2,Galerias!$A$2:$A$37,0))),"",ROUND(INDEX(Galerias!$N$2:$N$37,MATCH(AF$2,Galerias!$A$2:$A$37,0))*INDEX(Galerias!$O$2:$O$37,MATCH(AF$2,Galerias!$A$2:$A$37,0))^($A42-1),0))</f>
        <v/>
      </c>
      <c r="AG42" s="43">
        <f>IF(AND(INDEX(Galerias!$M$2:$M$37,MATCH(AG$2,Galerias!$A$2:$A$37,0))&lt;&gt;"",$A42&gt;INDEX(Galerias!$M$2:$M$37,MATCH(AG$2,Galerias!$A$2:$A$37,0))),"",ROUND(INDEX(Galerias!$N$2:$N$37,MATCH(AG$2,Galerias!$A$2:$A$37,0))*INDEX(Galerias!$O$2:$O$37,MATCH(AG$2,Galerias!$A$2:$A$37,0))^($A42-1),0))</f>
        <v/>
      </c>
      <c r="AH42" s="43">
        <f>IF(AND(INDEX(Galerias!$M$2:$M$37,MATCH(AH$2,Galerias!$A$2:$A$37,0))&lt;&gt;"",$A42&gt;INDEX(Galerias!$M$2:$M$37,MATCH(AH$2,Galerias!$A$2:$A$37,0))),"",ROUND(INDEX(Galerias!$N$2:$N$37,MATCH(AH$2,Galerias!$A$2:$A$37,0))*INDEX(Galerias!$O$2:$O$37,MATCH(AH$2,Galerias!$A$2:$A$37,0))^($A42-1),0))</f>
        <v/>
      </c>
      <c r="AI42" s="43">
        <f>IF(AND(INDEX(Galerias!$M$2:$M$37,MATCH(AI$2,Galerias!$A$2:$A$37,0))&lt;&gt;"",$A42&gt;INDEX(Galerias!$M$2:$M$37,MATCH(AI$2,Galerias!$A$2:$A$37,0))),"",ROUND(INDEX(Galerias!$N$2:$N$37,MATCH(AI$2,Galerias!$A$2:$A$37,0))*INDEX(Galerias!$O$2:$O$37,MATCH(AI$2,Galerias!$A$2:$A$37,0))^($A42-1),0))</f>
        <v/>
      </c>
      <c r="AJ42" s="43">
        <f>IF(AND(INDEX(Galerias!$M$2:$M$37,MATCH(AJ$2,Galerias!$A$2:$A$37,0))&lt;&gt;"",$A42&gt;INDEX(Galerias!$M$2:$M$37,MATCH(AJ$2,Galerias!$A$2:$A$37,0))),"",ROUND(INDEX(Galerias!$N$2:$N$37,MATCH(AJ$2,Galerias!$A$2:$A$37,0))*INDEX(Galerias!$O$2:$O$37,MATCH(AJ$2,Galerias!$A$2:$A$37,0))^($A42-1),0))</f>
        <v/>
      </c>
      <c r="AK42" s="43">
        <f>IF(AND(INDEX(Galerias!$M$2:$M$37,MATCH(AK$2,Galerias!$A$2:$A$37,0))&lt;&gt;"",$A42&gt;INDEX(Galerias!$M$2:$M$37,MATCH(AK$2,Galerias!$A$2:$A$37,0))),"",ROUND(INDEX(Galerias!$N$2:$N$37,MATCH(AK$2,Galerias!$A$2:$A$37,0))*INDEX(Galerias!$O$2:$O$37,MATCH(AK$2,Galerias!$A$2:$A$37,0))^($A42-1),0))</f>
        <v/>
      </c>
    </row>
    <row r="43" ht="15" customHeight="1" s="23">
      <c r="A43" s="25" t="n">
        <v>41</v>
      </c>
      <c r="B43" s="43">
        <f>IF(AND(INDEX(Galerias!$M$2:$M$37,MATCH(B$2,Galerias!$A$2:$A$37,0))&lt;&gt;"",$A43&gt;INDEX(Galerias!$M$2:$M$37,MATCH(B$2,Galerias!$A$2:$A$37,0))),"",ROUND(INDEX(Galerias!$N$2:$N$37,MATCH(B$2,Galerias!$A$2:$A$37,0))*INDEX(Galerias!$O$2:$O$37,MATCH(B$2,Galerias!$A$2:$A$37,0))^($A43-1),0))</f>
        <v/>
      </c>
      <c r="C43" s="43">
        <f>IF(AND(INDEX(Galerias!$M$2:$M$37,MATCH(C$2,Galerias!$A$2:$A$37,0))&lt;&gt;"",$A43&gt;INDEX(Galerias!$M$2:$M$37,MATCH(C$2,Galerias!$A$2:$A$37,0))),"",ROUND(INDEX(Galerias!$N$2:$N$37,MATCH(C$2,Galerias!$A$2:$A$37,0))*INDEX(Galerias!$O$2:$O$37,MATCH(C$2,Galerias!$A$2:$A$37,0))^($A43-1),0))</f>
        <v/>
      </c>
      <c r="D43" s="43">
        <f>IF(AND(INDEX(Galerias!$M$2:$M$37,MATCH(D$2,Galerias!$A$2:$A$37,0))&lt;&gt;"",$A43&gt;INDEX(Galerias!$M$2:$M$37,MATCH(D$2,Galerias!$A$2:$A$37,0))),"",ROUND(INDEX(Galerias!$N$2:$N$37,MATCH(D$2,Galerias!$A$2:$A$37,0))*INDEX(Galerias!$O$2:$O$37,MATCH(D$2,Galerias!$A$2:$A$37,0))^($A43-1),0))</f>
        <v/>
      </c>
      <c r="E43" s="43">
        <f>IF(AND(INDEX(Galerias!$M$2:$M$37,MATCH(E$2,Galerias!$A$2:$A$37,0))&lt;&gt;"",$A43&gt;INDEX(Galerias!$M$2:$M$37,MATCH(E$2,Galerias!$A$2:$A$37,0))),"",ROUND(INDEX(Galerias!$N$2:$N$37,MATCH(E$2,Galerias!$A$2:$A$37,0))*INDEX(Galerias!$O$2:$O$37,MATCH(E$2,Galerias!$A$2:$A$37,0))^($A43-1),0))</f>
        <v/>
      </c>
      <c r="F43" s="43">
        <f>IF(AND(INDEX(Galerias!$M$2:$M$37,MATCH(F$2,Galerias!$A$2:$A$37,0))&lt;&gt;"",$A43&gt;INDEX(Galerias!$M$2:$M$37,MATCH(F$2,Galerias!$A$2:$A$37,0))),"",ROUND(INDEX(Galerias!$N$2:$N$37,MATCH(F$2,Galerias!$A$2:$A$37,0))*INDEX(Galerias!$O$2:$O$37,MATCH(F$2,Galerias!$A$2:$A$37,0))^($A43-1),0))</f>
        <v/>
      </c>
      <c r="G43" s="43">
        <f>IF(AND(INDEX(Galerias!$M$2:$M$37,MATCH(G$2,Galerias!$A$2:$A$37,0))&lt;&gt;"",$A43&gt;INDEX(Galerias!$M$2:$M$37,MATCH(G$2,Galerias!$A$2:$A$37,0))),"",ROUND(INDEX(Galerias!$N$2:$N$37,MATCH(G$2,Galerias!$A$2:$A$37,0))*INDEX(Galerias!$O$2:$O$37,MATCH(G$2,Galerias!$A$2:$A$37,0))^($A43-1),0))</f>
        <v/>
      </c>
      <c r="H43" s="43">
        <f>IF(AND(INDEX(Galerias!$M$2:$M$37,MATCH(H$2,Galerias!$A$2:$A$37,0))&lt;&gt;"",$A43&gt;INDEX(Galerias!$M$2:$M$37,MATCH(H$2,Galerias!$A$2:$A$37,0))),"",ROUND(INDEX(Galerias!$N$2:$N$37,MATCH(H$2,Galerias!$A$2:$A$37,0))*INDEX(Galerias!$O$2:$O$37,MATCH(H$2,Galerias!$A$2:$A$37,0))^($A43-1),0))</f>
        <v/>
      </c>
      <c r="I43" s="43">
        <f>IF(AND(INDEX(Galerias!$M$2:$M$37,MATCH(I$2,Galerias!$A$2:$A$37,0))&lt;&gt;"",$A43&gt;INDEX(Galerias!$M$2:$M$37,MATCH(I$2,Galerias!$A$2:$A$37,0))),"",ROUND(INDEX(Galerias!$N$2:$N$37,MATCH(I$2,Galerias!$A$2:$A$37,0))*INDEX(Galerias!$O$2:$O$37,MATCH(I$2,Galerias!$A$2:$A$37,0))^($A43-1),0))</f>
        <v/>
      </c>
      <c r="J43" s="43">
        <f>IF(AND(INDEX(Galerias!$M$2:$M$37,MATCH(J$2,Galerias!$A$2:$A$37,0))&lt;&gt;"",$A43&gt;INDEX(Galerias!$M$2:$M$37,MATCH(J$2,Galerias!$A$2:$A$37,0))),"",ROUND(INDEX(Galerias!$N$2:$N$37,MATCH(J$2,Galerias!$A$2:$A$37,0))*INDEX(Galerias!$O$2:$O$37,MATCH(J$2,Galerias!$A$2:$A$37,0))^($A43-1),0))</f>
        <v/>
      </c>
      <c r="K43" s="43">
        <f>IF(AND(INDEX(Galerias!$M$2:$M$37,MATCH(K$2,Galerias!$A$2:$A$37,0))&lt;&gt;"",$A43&gt;INDEX(Galerias!$M$2:$M$37,MATCH(K$2,Galerias!$A$2:$A$37,0))),"",ROUND(INDEX(Galerias!$N$2:$N$37,MATCH(K$2,Galerias!$A$2:$A$37,0))*INDEX(Galerias!$O$2:$O$37,MATCH(K$2,Galerias!$A$2:$A$37,0))^($A43-1),0))</f>
        <v/>
      </c>
      <c r="L43" s="43">
        <f>IF(AND(INDEX(Galerias!$M$2:$M$37,MATCH(L$2,Galerias!$A$2:$A$37,0))&lt;&gt;"",$A43&gt;INDEX(Galerias!$M$2:$M$37,MATCH(L$2,Galerias!$A$2:$A$37,0))),"",ROUND(INDEX(Galerias!$N$2:$N$37,MATCH(L$2,Galerias!$A$2:$A$37,0))*INDEX(Galerias!$O$2:$O$37,MATCH(L$2,Galerias!$A$2:$A$37,0))^($A43-1),0))</f>
        <v/>
      </c>
      <c r="M43" s="43">
        <f>IF(AND(INDEX(Galerias!$M$2:$M$37,MATCH(M$2,Galerias!$A$2:$A$37,0))&lt;&gt;"",$A43&gt;INDEX(Galerias!$M$2:$M$37,MATCH(M$2,Galerias!$A$2:$A$37,0))),"",ROUND(INDEX(Galerias!$N$2:$N$37,MATCH(M$2,Galerias!$A$2:$A$37,0))*INDEX(Galerias!$O$2:$O$37,MATCH(M$2,Galerias!$A$2:$A$37,0))^($A43-1),0))</f>
        <v/>
      </c>
      <c r="N43" s="43">
        <f>IF(AND(INDEX(Galerias!$M$2:$M$37,MATCH(N$2,Galerias!$A$2:$A$37,0))&lt;&gt;"",$A43&gt;INDEX(Galerias!$M$2:$M$37,MATCH(N$2,Galerias!$A$2:$A$37,0))),"",ROUND(INDEX(Galerias!$N$2:$N$37,MATCH(N$2,Galerias!$A$2:$A$37,0))*INDEX(Galerias!$O$2:$O$37,MATCH(N$2,Galerias!$A$2:$A$37,0))^($A43-1),0))</f>
        <v/>
      </c>
      <c r="O43" s="43">
        <f>IF(AND(INDEX(Galerias!$M$2:$M$37,MATCH(O$2,Galerias!$A$2:$A$37,0))&lt;&gt;"",$A43&gt;INDEX(Galerias!$M$2:$M$37,MATCH(O$2,Galerias!$A$2:$A$37,0))),"",ROUND(INDEX(Galerias!$N$2:$N$37,MATCH(O$2,Galerias!$A$2:$A$37,0))*INDEX(Galerias!$O$2:$O$37,MATCH(O$2,Galerias!$A$2:$A$37,0))^($A43-1),0))</f>
        <v/>
      </c>
      <c r="P43" s="43">
        <f>IF(AND(INDEX(Galerias!$M$2:$M$37,MATCH(P$2,Galerias!$A$2:$A$37,0))&lt;&gt;"",$A43&gt;INDEX(Galerias!$M$2:$M$37,MATCH(P$2,Galerias!$A$2:$A$37,0))),"",ROUND(INDEX(Galerias!$N$2:$N$37,MATCH(P$2,Galerias!$A$2:$A$37,0))*INDEX(Galerias!$O$2:$O$37,MATCH(P$2,Galerias!$A$2:$A$37,0))^($A43-1),0))</f>
        <v/>
      </c>
      <c r="Q43" s="43">
        <f>IF(AND(INDEX(Galerias!$M$2:$M$37,MATCH(Q$2,Galerias!$A$2:$A$37,0))&lt;&gt;"",$A43&gt;INDEX(Galerias!$M$2:$M$37,MATCH(Q$2,Galerias!$A$2:$A$37,0))),"",ROUND(INDEX(Galerias!$N$2:$N$37,MATCH(Q$2,Galerias!$A$2:$A$37,0))*INDEX(Galerias!$O$2:$O$37,MATCH(Q$2,Galerias!$A$2:$A$37,0))^($A43-1),0))</f>
        <v/>
      </c>
      <c r="R43" s="43">
        <f>IF(AND(INDEX(Galerias!$M$2:$M$37,MATCH(R$2,Galerias!$A$2:$A$37,0))&lt;&gt;"",$A43&gt;INDEX(Galerias!$M$2:$M$37,MATCH(R$2,Galerias!$A$2:$A$37,0))),"",ROUND(INDEX(Galerias!$N$2:$N$37,MATCH(R$2,Galerias!$A$2:$A$37,0))*INDEX(Galerias!$O$2:$O$37,MATCH(R$2,Galerias!$A$2:$A$37,0))^($A43-1),0))</f>
        <v/>
      </c>
      <c r="S43" s="43">
        <f>IF(AND(INDEX(Galerias!$M$2:$M$37,MATCH(S$2,Galerias!$A$2:$A$37,0))&lt;&gt;"",$A43&gt;INDEX(Galerias!$M$2:$M$37,MATCH(S$2,Galerias!$A$2:$A$37,0))),"",ROUND(INDEX(Galerias!$N$2:$N$37,MATCH(S$2,Galerias!$A$2:$A$37,0))*INDEX(Galerias!$O$2:$O$37,MATCH(S$2,Galerias!$A$2:$A$37,0))^($A43-1),0))</f>
        <v/>
      </c>
      <c r="T43" s="43">
        <f>IF(AND(INDEX(Galerias!$M$2:$M$37,MATCH(T$2,Galerias!$A$2:$A$37,0))&lt;&gt;"",$A43&gt;INDEX(Galerias!$M$2:$M$37,MATCH(T$2,Galerias!$A$2:$A$37,0))),"",ROUND(INDEX(Galerias!$N$2:$N$37,MATCH(T$2,Galerias!$A$2:$A$37,0))*INDEX(Galerias!$O$2:$O$37,MATCH(T$2,Galerias!$A$2:$A$37,0))^($A43-1),0))</f>
        <v/>
      </c>
      <c r="U43" s="43">
        <f>IF(AND(INDEX(Galerias!$M$2:$M$37,MATCH(U$2,Galerias!$A$2:$A$37,0))&lt;&gt;"",$A43&gt;INDEX(Galerias!$M$2:$M$37,MATCH(U$2,Galerias!$A$2:$A$37,0))),"",ROUND(INDEX(Galerias!$N$2:$N$37,MATCH(U$2,Galerias!$A$2:$A$37,0))*INDEX(Galerias!$O$2:$O$37,MATCH(U$2,Galerias!$A$2:$A$37,0))^($A43-1),0))</f>
        <v/>
      </c>
      <c r="V43" s="43">
        <f>IF(AND(INDEX(Galerias!$M$2:$M$37,MATCH(V$2,Galerias!$A$2:$A$37,0))&lt;&gt;"",$A43&gt;INDEX(Galerias!$M$2:$M$37,MATCH(V$2,Galerias!$A$2:$A$37,0))),"",ROUND(INDEX(Galerias!$N$2:$N$37,MATCH(V$2,Galerias!$A$2:$A$37,0))*INDEX(Galerias!$O$2:$O$37,MATCH(V$2,Galerias!$A$2:$A$37,0))^($A43-1),0))</f>
        <v/>
      </c>
      <c r="W43" s="43">
        <f>IF(AND(INDEX(Galerias!$M$2:$M$37,MATCH(W$2,Galerias!$A$2:$A$37,0))&lt;&gt;"",$A43&gt;INDEX(Galerias!$M$2:$M$37,MATCH(W$2,Galerias!$A$2:$A$37,0))),"",ROUND(INDEX(Galerias!$N$2:$N$37,MATCH(W$2,Galerias!$A$2:$A$37,0))*INDEX(Galerias!$O$2:$O$37,MATCH(W$2,Galerias!$A$2:$A$37,0))^($A43-1),0))</f>
        <v/>
      </c>
      <c r="X43" s="43">
        <f>IF(AND(INDEX(Galerias!$M$2:$M$37,MATCH(X$2,Galerias!$A$2:$A$37,0))&lt;&gt;"",$A43&gt;INDEX(Galerias!$M$2:$M$37,MATCH(X$2,Galerias!$A$2:$A$37,0))),"",ROUND(INDEX(Galerias!$N$2:$N$37,MATCH(X$2,Galerias!$A$2:$A$37,0))*INDEX(Galerias!$O$2:$O$37,MATCH(X$2,Galerias!$A$2:$A$37,0))^($A43-1),0))</f>
        <v/>
      </c>
      <c r="Y43" s="43">
        <f>IF(AND(INDEX(Galerias!$M$2:$M$37,MATCH(Y$2,Galerias!$A$2:$A$37,0))&lt;&gt;"",$A43&gt;INDEX(Galerias!$M$2:$M$37,MATCH(Y$2,Galerias!$A$2:$A$37,0))),"",ROUND(INDEX(Galerias!$N$2:$N$37,MATCH(Y$2,Galerias!$A$2:$A$37,0))*INDEX(Galerias!$O$2:$O$37,MATCH(Y$2,Galerias!$A$2:$A$37,0))^($A43-1),0))</f>
        <v/>
      </c>
      <c r="Z43" s="43">
        <f>IF(AND(INDEX(Galerias!$M$2:$M$37,MATCH(Z$2,Galerias!$A$2:$A$37,0))&lt;&gt;"",$A43&gt;INDEX(Galerias!$M$2:$M$37,MATCH(Z$2,Galerias!$A$2:$A$37,0))),"",ROUND(INDEX(Galerias!$N$2:$N$37,MATCH(Z$2,Galerias!$A$2:$A$37,0))*INDEX(Galerias!$O$2:$O$37,MATCH(Z$2,Galerias!$A$2:$A$37,0))^($A43-1),0))</f>
        <v/>
      </c>
      <c r="AA43" s="43">
        <f>IF(AND(INDEX(Galerias!$M$2:$M$37,MATCH(AA$2,Galerias!$A$2:$A$37,0))&lt;&gt;"",$A43&gt;INDEX(Galerias!$M$2:$M$37,MATCH(AA$2,Galerias!$A$2:$A$37,0))),"",ROUND(INDEX(Galerias!$N$2:$N$37,MATCH(AA$2,Galerias!$A$2:$A$37,0))*INDEX(Galerias!$O$2:$O$37,MATCH(AA$2,Galerias!$A$2:$A$37,0))^($A43-1),0))</f>
        <v/>
      </c>
      <c r="AB43" s="43">
        <f>IF(AND(INDEX(Galerias!$M$2:$M$37,MATCH(AB$2,Galerias!$A$2:$A$37,0))&lt;&gt;"",$A43&gt;INDEX(Galerias!$M$2:$M$37,MATCH(AB$2,Galerias!$A$2:$A$37,0))),"",ROUND(INDEX(Galerias!$N$2:$N$37,MATCH(AB$2,Galerias!$A$2:$A$37,0))*INDEX(Galerias!$O$2:$O$37,MATCH(AB$2,Galerias!$A$2:$A$37,0))^($A43-1),0))</f>
        <v/>
      </c>
      <c r="AC43" s="43">
        <f>IF(AND(INDEX(Galerias!$M$2:$M$37,MATCH(AC$2,Galerias!$A$2:$A$37,0))&lt;&gt;"",$A43&gt;INDEX(Galerias!$M$2:$M$37,MATCH(AC$2,Galerias!$A$2:$A$37,0))),"",ROUND(INDEX(Galerias!$N$2:$N$37,MATCH(AC$2,Galerias!$A$2:$A$37,0))*INDEX(Galerias!$O$2:$O$37,MATCH(AC$2,Galerias!$A$2:$A$37,0))^($A43-1),0))</f>
        <v/>
      </c>
      <c r="AD43" s="43">
        <f>IF(AND(INDEX(Galerias!$M$2:$M$37,MATCH(AD$2,Galerias!$A$2:$A$37,0))&lt;&gt;"",$A43&gt;INDEX(Galerias!$M$2:$M$37,MATCH(AD$2,Galerias!$A$2:$A$37,0))),"",ROUND(INDEX(Galerias!$N$2:$N$37,MATCH(AD$2,Galerias!$A$2:$A$37,0))*INDEX(Galerias!$O$2:$O$37,MATCH(AD$2,Galerias!$A$2:$A$37,0))^($A43-1),0))</f>
        <v/>
      </c>
      <c r="AE43" s="43">
        <f>IF(AND(INDEX(Galerias!$M$2:$M$37,MATCH(AE$2,Galerias!$A$2:$A$37,0))&lt;&gt;"",$A43&gt;INDEX(Galerias!$M$2:$M$37,MATCH(AE$2,Galerias!$A$2:$A$37,0))),"",ROUND(INDEX(Galerias!$N$2:$N$37,MATCH(AE$2,Galerias!$A$2:$A$37,0))*INDEX(Galerias!$O$2:$O$37,MATCH(AE$2,Galerias!$A$2:$A$37,0))^($A43-1),0))</f>
        <v/>
      </c>
      <c r="AF43" s="43">
        <f>IF(AND(INDEX(Galerias!$M$2:$M$37,MATCH(AF$2,Galerias!$A$2:$A$37,0))&lt;&gt;"",$A43&gt;INDEX(Galerias!$M$2:$M$37,MATCH(AF$2,Galerias!$A$2:$A$37,0))),"",ROUND(INDEX(Galerias!$N$2:$N$37,MATCH(AF$2,Galerias!$A$2:$A$37,0))*INDEX(Galerias!$O$2:$O$37,MATCH(AF$2,Galerias!$A$2:$A$37,0))^($A43-1),0))</f>
        <v/>
      </c>
      <c r="AG43" s="43">
        <f>IF(AND(INDEX(Galerias!$M$2:$M$37,MATCH(AG$2,Galerias!$A$2:$A$37,0))&lt;&gt;"",$A43&gt;INDEX(Galerias!$M$2:$M$37,MATCH(AG$2,Galerias!$A$2:$A$37,0))),"",ROUND(INDEX(Galerias!$N$2:$N$37,MATCH(AG$2,Galerias!$A$2:$A$37,0))*INDEX(Galerias!$O$2:$O$37,MATCH(AG$2,Galerias!$A$2:$A$37,0))^($A43-1),0))</f>
        <v/>
      </c>
      <c r="AH43" s="43">
        <f>IF(AND(INDEX(Galerias!$M$2:$M$37,MATCH(AH$2,Galerias!$A$2:$A$37,0))&lt;&gt;"",$A43&gt;INDEX(Galerias!$M$2:$M$37,MATCH(AH$2,Galerias!$A$2:$A$37,0))),"",ROUND(INDEX(Galerias!$N$2:$N$37,MATCH(AH$2,Galerias!$A$2:$A$37,0))*INDEX(Galerias!$O$2:$O$37,MATCH(AH$2,Galerias!$A$2:$A$37,0))^($A43-1),0))</f>
        <v/>
      </c>
      <c r="AI43" s="43">
        <f>IF(AND(INDEX(Galerias!$M$2:$M$37,MATCH(AI$2,Galerias!$A$2:$A$37,0))&lt;&gt;"",$A43&gt;INDEX(Galerias!$M$2:$M$37,MATCH(AI$2,Galerias!$A$2:$A$37,0))),"",ROUND(INDEX(Galerias!$N$2:$N$37,MATCH(AI$2,Galerias!$A$2:$A$37,0))*INDEX(Galerias!$O$2:$O$37,MATCH(AI$2,Galerias!$A$2:$A$37,0))^($A43-1),0))</f>
        <v/>
      </c>
      <c r="AJ43" s="43">
        <f>IF(AND(INDEX(Galerias!$M$2:$M$37,MATCH(AJ$2,Galerias!$A$2:$A$37,0))&lt;&gt;"",$A43&gt;INDEX(Galerias!$M$2:$M$37,MATCH(AJ$2,Galerias!$A$2:$A$37,0))),"",ROUND(INDEX(Galerias!$N$2:$N$37,MATCH(AJ$2,Galerias!$A$2:$A$37,0))*INDEX(Galerias!$O$2:$O$37,MATCH(AJ$2,Galerias!$A$2:$A$37,0))^($A43-1),0))</f>
        <v/>
      </c>
      <c r="AK43" s="43">
        <f>IF(AND(INDEX(Galerias!$M$2:$M$37,MATCH(AK$2,Galerias!$A$2:$A$37,0))&lt;&gt;"",$A43&gt;INDEX(Galerias!$M$2:$M$37,MATCH(AK$2,Galerias!$A$2:$A$37,0))),"",ROUND(INDEX(Galerias!$N$2:$N$37,MATCH(AK$2,Galerias!$A$2:$A$37,0))*INDEX(Galerias!$O$2:$O$37,MATCH(AK$2,Galerias!$A$2:$A$37,0))^($A43-1),0))</f>
        <v/>
      </c>
    </row>
    <row r="44" ht="15" customHeight="1" s="23">
      <c r="A44" s="25" t="n">
        <v>42</v>
      </c>
      <c r="B44" s="43">
        <f>IF(AND(INDEX(Galerias!$M$2:$M$37,MATCH(B$2,Galerias!$A$2:$A$37,0))&lt;&gt;"",$A44&gt;INDEX(Galerias!$M$2:$M$37,MATCH(B$2,Galerias!$A$2:$A$37,0))),"",ROUND(INDEX(Galerias!$N$2:$N$37,MATCH(B$2,Galerias!$A$2:$A$37,0))*INDEX(Galerias!$O$2:$O$37,MATCH(B$2,Galerias!$A$2:$A$37,0))^($A44-1),0))</f>
        <v/>
      </c>
      <c r="C44" s="43">
        <f>IF(AND(INDEX(Galerias!$M$2:$M$37,MATCH(C$2,Galerias!$A$2:$A$37,0))&lt;&gt;"",$A44&gt;INDEX(Galerias!$M$2:$M$37,MATCH(C$2,Galerias!$A$2:$A$37,0))),"",ROUND(INDEX(Galerias!$N$2:$N$37,MATCH(C$2,Galerias!$A$2:$A$37,0))*INDEX(Galerias!$O$2:$O$37,MATCH(C$2,Galerias!$A$2:$A$37,0))^($A44-1),0))</f>
        <v/>
      </c>
      <c r="D44" s="43">
        <f>IF(AND(INDEX(Galerias!$M$2:$M$37,MATCH(D$2,Galerias!$A$2:$A$37,0))&lt;&gt;"",$A44&gt;INDEX(Galerias!$M$2:$M$37,MATCH(D$2,Galerias!$A$2:$A$37,0))),"",ROUND(INDEX(Galerias!$N$2:$N$37,MATCH(D$2,Galerias!$A$2:$A$37,0))*INDEX(Galerias!$O$2:$O$37,MATCH(D$2,Galerias!$A$2:$A$37,0))^($A44-1),0))</f>
        <v/>
      </c>
      <c r="E44" s="43">
        <f>IF(AND(INDEX(Galerias!$M$2:$M$37,MATCH(E$2,Galerias!$A$2:$A$37,0))&lt;&gt;"",$A44&gt;INDEX(Galerias!$M$2:$M$37,MATCH(E$2,Galerias!$A$2:$A$37,0))),"",ROUND(INDEX(Galerias!$N$2:$N$37,MATCH(E$2,Galerias!$A$2:$A$37,0))*INDEX(Galerias!$O$2:$O$37,MATCH(E$2,Galerias!$A$2:$A$37,0))^($A44-1),0))</f>
        <v/>
      </c>
      <c r="F44" s="43">
        <f>IF(AND(INDEX(Galerias!$M$2:$M$37,MATCH(F$2,Galerias!$A$2:$A$37,0))&lt;&gt;"",$A44&gt;INDEX(Galerias!$M$2:$M$37,MATCH(F$2,Galerias!$A$2:$A$37,0))),"",ROUND(INDEX(Galerias!$N$2:$N$37,MATCH(F$2,Galerias!$A$2:$A$37,0))*INDEX(Galerias!$O$2:$O$37,MATCH(F$2,Galerias!$A$2:$A$37,0))^($A44-1),0))</f>
        <v/>
      </c>
      <c r="G44" s="43">
        <f>IF(AND(INDEX(Galerias!$M$2:$M$37,MATCH(G$2,Galerias!$A$2:$A$37,0))&lt;&gt;"",$A44&gt;INDEX(Galerias!$M$2:$M$37,MATCH(G$2,Galerias!$A$2:$A$37,0))),"",ROUND(INDEX(Galerias!$N$2:$N$37,MATCH(G$2,Galerias!$A$2:$A$37,0))*INDEX(Galerias!$O$2:$O$37,MATCH(G$2,Galerias!$A$2:$A$37,0))^($A44-1),0))</f>
        <v/>
      </c>
      <c r="H44" s="43">
        <f>IF(AND(INDEX(Galerias!$M$2:$M$37,MATCH(H$2,Galerias!$A$2:$A$37,0))&lt;&gt;"",$A44&gt;INDEX(Galerias!$M$2:$M$37,MATCH(H$2,Galerias!$A$2:$A$37,0))),"",ROUND(INDEX(Galerias!$N$2:$N$37,MATCH(H$2,Galerias!$A$2:$A$37,0))*INDEX(Galerias!$O$2:$O$37,MATCH(H$2,Galerias!$A$2:$A$37,0))^($A44-1),0))</f>
        <v/>
      </c>
      <c r="I44" s="43">
        <f>IF(AND(INDEX(Galerias!$M$2:$M$37,MATCH(I$2,Galerias!$A$2:$A$37,0))&lt;&gt;"",$A44&gt;INDEX(Galerias!$M$2:$M$37,MATCH(I$2,Galerias!$A$2:$A$37,0))),"",ROUND(INDEX(Galerias!$N$2:$N$37,MATCH(I$2,Galerias!$A$2:$A$37,0))*INDEX(Galerias!$O$2:$O$37,MATCH(I$2,Galerias!$A$2:$A$37,0))^($A44-1),0))</f>
        <v/>
      </c>
      <c r="J44" s="43">
        <f>IF(AND(INDEX(Galerias!$M$2:$M$37,MATCH(J$2,Galerias!$A$2:$A$37,0))&lt;&gt;"",$A44&gt;INDEX(Galerias!$M$2:$M$37,MATCH(J$2,Galerias!$A$2:$A$37,0))),"",ROUND(INDEX(Galerias!$N$2:$N$37,MATCH(J$2,Galerias!$A$2:$A$37,0))*INDEX(Galerias!$O$2:$O$37,MATCH(J$2,Galerias!$A$2:$A$37,0))^($A44-1),0))</f>
        <v/>
      </c>
      <c r="K44" s="43">
        <f>IF(AND(INDEX(Galerias!$M$2:$M$37,MATCH(K$2,Galerias!$A$2:$A$37,0))&lt;&gt;"",$A44&gt;INDEX(Galerias!$M$2:$M$37,MATCH(K$2,Galerias!$A$2:$A$37,0))),"",ROUND(INDEX(Galerias!$N$2:$N$37,MATCH(K$2,Galerias!$A$2:$A$37,0))*INDEX(Galerias!$O$2:$O$37,MATCH(K$2,Galerias!$A$2:$A$37,0))^($A44-1),0))</f>
        <v/>
      </c>
      <c r="L44" s="43">
        <f>IF(AND(INDEX(Galerias!$M$2:$M$37,MATCH(L$2,Galerias!$A$2:$A$37,0))&lt;&gt;"",$A44&gt;INDEX(Galerias!$M$2:$M$37,MATCH(L$2,Galerias!$A$2:$A$37,0))),"",ROUND(INDEX(Galerias!$N$2:$N$37,MATCH(L$2,Galerias!$A$2:$A$37,0))*INDEX(Galerias!$O$2:$O$37,MATCH(L$2,Galerias!$A$2:$A$37,0))^($A44-1),0))</f>
        <v/>
      </c>
      <c r="M44" s="43">
        <f>IF(AND(INDEX(Galerias!$M$2:$M$37,MATCH(M$2,Galerias!$A$2:$A$37,0))&lt;&gt;"",$A44&gt;INDEX(Galerias!$M$2:$M$37,MATCH(M$2,Galerias!$A$2:$A$37,0))),"",ROUND(INDEX(Galerias!$N$2:$N$37,MATCH(M$2,Galerias!$A$2:$A$37,0))*INDEX(Galerias!$O$2:$O$37,MATCH(M$2,Galerias!$A$2:$A$37,0))^($A44-1),0))</f>
        <v/>
      </c>
      <c r="N44" s="43">
        <f>IF(AND(INDEX(Galerias!$M$2:$M$37,MATCH(N$2,Galerias!$A$2:$A$37,0))&lt;&gt;"",$A44&gt;INDEX(Galerias!$M$2:$M$37,MATCH(N$2,Galerias!$A$2:$A$37,0))),"",ROUND(INDEX(Galerias!$N$2:$N$37,MATCH(N$2,Galerias!$A$2:$A$37,0))*INDEX(Galerias!$O$2:$O$37,MATCH(N$2,Galerias!$A$2:$A$37,0))^($A44-1),0))</f>
        <v/>
      </c>
      <c r="O44" s="43">
        <f>IF(AND(INDEX(Galerias!$M$2:$M$37,MATCH(O$2,Galerias!$A$2:$A$37,0))&lt;&gt;"",$A44&gt;INDEX(Galerias!$M$2:$M$37,MATCH(O$2,Galerias!$A$2:$A$37,0))),"",ROUND(INDEX(Galerias!$N$2:$N$37,MATCH(O$2,Galerias!$A$2:$A$37,0))*INDEX(Galerias!$O$2:$O$37,MATCH(O$2,Galerias!$A$2:$A$37,0))^($A44-1),0))</f>
        <v/>
      </c>
      <c r="P44" s="43">
        <f>IF(AND(INDEX(Galerias!$M$2:$M$37,MATCH(P$2,Galerias!$A$2:$A$37,0))&lt;&gt;"",$A44&gt;INDEX(Galerias!$M$2:$M$37,MATCH(P$2,Galerias!$A$2:$A$37,0))),"",ROUND(INDEX(Galerias!$N$2:$N$37,MATCH(P$2,Galerias!$A$2:$A$37,0))*INDEX(Galerias!$O$2:$O$37,MATCH(P$2,Galerias!$A$2:$A$37,0))^($A44-1),0))</f>
        <v/>
      </c>
      <c r="Q44" s="43">
        <f>IF(AND(INDEX(Galerias!$M$2:$M$37,MATCH(Q$2,Galerias!$A$2:$A$37,0))&lt;&gt;"",$A44&gt;INDEX(Galerias!$M$2:$M$37,MATCH(Q$2,Galerias!$A$2:$A$37,0))),"",ROUND(INDEX(Galerias!$N$2:$N$37,MATCH(Q$2,Galerias!$A$2:$A$37,0))*INDEX(Galerias!$O$2:$O$37,MATCH(Q$2,Galerias!$A$2:$A$37,0))^($A44-1),0))</f>
        <v/>
      </c>
      <c r="R44" s="43">
        <f>IF(AND(INDEX(Galerias!$M$2:$M$37,MATCH(R$2,Galerias!$A$2:$A$37,0))&lt;&gt;"",$A44&gt;INDEX(Galerias!$M$2:$M$37,MATCH(R$2,Galerias!$A$2:$A$37,0))),"",ROUND(INDEX(Galerias!$N$2:$N$37,MATCH(R$2,Galerias!$A$2:$A$37,0))*INDEX(Galerias!$O$2:$O$37,MATCH(R$2,Galerias!$A$2:$A$37,0))^($A44-1),0))</f>
        <v/>
      </c>
      <c r="S44" s="43">
        <f>IF(AND(INDEX(Galerias!$M$2:$M$37,MATCH(S$2,Galerias!$A$2:$A$37,0))&lt;&gt;"",$A44&gt;INDEX(Galerias!$M$2:$M$37,MATCH(S$2,Galerias!$A$2:$A$37,0))),"",ROUND(INDEX(Galerias!$N$2:$N$37,MATCH(S$2,Galerias!$A$2:$A$37,0))*INDEX(Galerias!$O$2:$O$37,MATCH(S$2,Galerias!$A$2:$A$37,0))^($A44-1),0))</f>
        <v/>
      </c>
      <c r="T44" s="43">
        <f>IF(AND(INDEX(Galerias!$M$2:$M$37,MATCH(T$2,Galerias!$A$2:$A$37,0))&lt;&gt;"",$A44&gt;INDEX(Galerias!$M$2:$M$37,MATCH(T$2,Galerias!$A$2:$A$37,0))),"",ROUND(INDEX(Galerias!$N$2:$N$37,MATCH(T$2,Galerias!$A$2:$A$37,0))*INDEX(Galerias!$O$2:$O$37,MATCH(T$2,Galerias!$A$2:$A$37,0))^($A44-1),0))</f>
        <v/>
      </c>
      <c r="U44" s="43">
        <f>IF(AND(INDEX(Galerias!$M$2:$M$37,MATCH(U$2,Galerias!$A$2:$A$37,0))&lt;&gt;"",$A44&gt;INDEX(Galerias!$M$2:$M$37,MATCH(U$2,Galerias!$A$2:$A$37,0))),"",ROUND(INDEX(Galerias!$N$2:$N$37,MATCH(U$2,Galerias!$A$2:$A$37,0))*INDEX(Galerias!$O$2:$O$37,MATCH(U$2,Galerias!$A$2:$A$37,0))^($A44-1),0))</f>
        <v/>
      </c>
      <c r="V44" s="43">
        <f>IF(AND(INDEX(Galerias!$M$2:$M$37,MATCH(V$2,Galerias!$A$2:$A$37,0))&lt;&gt;"",$A44&gt;INDEX(Galerias!$M$2:$M$37,MATCH(V$2,Galerias!$A$2:$A$37,0))),"",ROUND(INDEX(Galerias!$N$2:$N$37,MATCH(V$2,Galerias!$A$2:$A$37,0))*INDEX(Galerias!$O$2:$O$37,MATCH(V$2,Galerias!$A$2:$A$37,0))^($A44-1),0))</f>
        <v/>
      </c>
      <c r="W44" s="43">
        <f>IF(AND(INDEX(Galerias!$M$2:$M$37,MATCH(W$2,Galerias!$A$2:$A$37,0))&lt;&gt;"",$A44&gt;INDEX(Galerias!$M$2:$M$37,MATCH(W$2,Galerias!$A$2:$A$37,0))),"",ROUND(INDEX(Galerias!$N$2:$N$37,MATCH(W$2,Galerias!$A$2:$A$37,0))*INDEX(Galerias!$O$2:$O$37,MATCH(W$2,Galerias!$A$2:$A$37,0))^($A44-1),0))</f>
        <v/>
      </c>
      <c r="X44" s="43">
        <f>IF(AND(INDEX(Galerias!$M$2:$M$37,MATCH(X$2,Galerias!$A$2:$A$37,0))&lt;&gt;"",$A44&gt;INDEX(Galerias!$M$2:$M$37,MATCH(X$2,Galerias!$A$2:$A$37,0))),"",ROUND(INDEX(Galerias!$N$2:$N$37,MATCH(X$2,Galerias!$A$2:$A$37,0))*INDEX(Galerias!$O$2:$O$37,MATCH(X$2,Galerias!$A$2:$A$37,0))^($A44-1),0))</f>
        <v/>
      </c>
      <c r="Y44" s="43">
        <f>IF(AND(INDEX(Galerias!$M$2:$M$37,MATCH(Y$2,Galerias!$A$2:$A$37,0))&lt;&gt;"",$A44&gt;INDEX(Galerias!$M$2:$M$37,MATCH(Y$2,Galerias!$A$2:$A$37,0))),"",ROUND(INDEX(Galerias!$N$2:$N$37,MATCH(Y$2,Galerias!$A$2:$A$37,0))*INDEX(Galerias!$O$2:$O$37,MATCH(Y$2,Galerias!$A$2:$A$37,0))^($A44-1),0))</f>
        <v/>
      </c>
      <c r="Z44" s="43">
        <f>IF(AND(INDEX(Galerias!$M$2:$M$37,MATCH(Z$2,Galerias!$A$2:$A$37,0))&lt;&gt;"",$A44&gt;INDEX(Galerias!$M$2:$M$37,MATCH(Z$2,Galerias!$A$2:$A$37,0))),"",ROUND(INDEX(Galerias!$N$2:$N$37,MATCH(Z$2,Galerias!$A$2:$A$37,0))*INDEX(Galerias!$O$2:$O$37,MATCH(Z$2,Galerias!$A$2:$A$37,0))^($A44-1),0))</f>
        <v/>
      </c>
      <c r="AA44" s="43">
        <f>IF(AND(INDEX(Galerias!$M$2:$M$37,MATCH(AA$2,Galerias!$A$2:$A$37,0))&lt;&gt;"",$A44&gt;INDEX(Galerias!$M$2:$M$37,MATCH(AA$2,Galerias!$A$2:$A$37,0))),"",ROUND(INDEX(Galerias!$N$2:$N$37,MATCH(AA$2,Galerias!$A$2:$A$37,0))*INDEX(Galerias!$O$2:$O$37,MATCH(AA$2,Galerias!$A$2:$A$37,0))^($A44-1),0))</f>
        <v/>
      </c>
      <c r="AB44" s="43">
        <f>IF(AND(INDEX(Galerias!$M$2:$M$37,MATCH(AB$2,Galerias!$A$2:$A$37,0))&lt;&gt;"",$A44&gt;INDEX(Galerias!$M$2:$M$37,MATCH(AB$2,Galerias!$A$2:$A$37,0))),"",ROUND(INDEX(Galerias!$N$2:$N$37,MATCH(AB$2,Galerias!$A$2:$A$37,0))*INDEX(Galerias!$O$2:$O$37,MATCH(AB$2,Galerias!$A$2:$A$37,0))^($A44-1),0))</f>
        <v/>
      </c>
      <c r="AC44" s="43">
        <f>IF(AND(INDEX(Galerias!$M$2:$M$37,MATCH(AC$2,Galerias!$A$2:$A$37,0))&lt;&gt;"",$A44&gt;INDEX(Galerias!$M$2:$M$37,MATCH(AC$2,Galerias!$A$2:$A$37,0))),"",ROUND(INDEX(Galerias!$N$2:$N$37,MATCH(AC$2,Galerias!$A$2:$A$37,0))*INDEX(Galerias!$O$2:$O$37,MATCH(AC$2,Galerias!$A$2:$A$37,0))^($A44-1),0))</f>
        <v/>
      </c>
      <c r="AD44" s="43">
        <f>IF(AND(INDEX(Galerias!$M$2:$M$37,MATCH(AD$2,Galerias!$A$2:$A$37,0))&lt;&gt;"",$A44&gt;INDEX(Galerias!$M$2:$M$37,MATCH(AD$2,Galerias!$A$2:$A$37,0))),"",ROUND(INDEX(Galerias!$N$2:$N$37,MATCH(AD$2,Galerias!$A$2:$A$37,0))*INDEX(Galerias!$O$2:$O$37,MATCH(AD$2,Galerias!$A$2:$A$37,0))^($A44-1),0))</f>
        <v/>
      </c>
      <c r="AE44" s="43">
        <f>IF(AND(INDEX(Galerias!$M$2:$M$37,MATCH(AE$2,Galerias!$A$2:$A$37,0))&lt;&gt;"",$A44&gt;INDEX(Galerias!$M$2:$M$37,MATCH(AE$2,Galerias!$A$2:$A$37,0))),"",ROUND(INDEX(Galerias!$N$2:$N$37,MATCH(AE$2,Galerias!$A$2:$A$37,0))*INDEX(Galerias!$O$2:$O$37,MATCH(AE$2,Galerias!$A$2:$A$37,0))^($A44-1),0))</f>
        <v/>
      </c>
      <c r="AF44" s="43">
        <f>IF(AND(INDEX(Galerias!$M$2:$M$37,MATCH(AF$2,Galerias!$A$2:$A$37,0))&lt;&gt;"",$A44&gt;INDEX(Galerias!$M$2:$M$37,MATCH(AF$2,Galerias!$A$2:$A$37,0))),"",ROUND(INDEX(Galerias!$N$2:$N$37,MATCH(AF$2,Galerias!$A$2:$A$37,0))*INDEX(Galerias!$O$2:$O$37,MATCH(AF$2,Galerias!$A$2:$A$37,0))^($A44-1),0))</f>
        <v/>
      </c>
      <c r="AG44" s="43">
        <f>IF(AND(INDEX(Galerias!$M$2:$M$37,MATCH(AG$2,Galerias!$A$2:$A$37,0))&lt;&gt;"",$A44&gt;INDEX(Galerias!$M$2:$M$37,MATCH(AG$2,Galerias!$A$2:$A$37,0))),"",ROUND(INDEX(Galerias!$N$2:$N$37,MATCH(AG$2,Galerias!$A$2:$A$37,0))*INDEX(Galerias!$O$2:$O$37,MATCH(AG$2,Galerias!$A$2:$A$37,0))^($A44-1),0))</f>
        <v/>
      </c>
      <c r="AH44" s="43">
        <f>IF(AND(INDEX(Galerias!$M$2:$M$37,MATCH(AH$2,Galerias!$A$2:$A$37,0))&lt;&gt;"",$A44&gt;INDEX(Galerias!$M$2:$M$37,MATCH(AH$2,Galerias!$A$2:$A$37,0))),"",ROUND(INDEX(Galerias!$N$2:$N$37,MATCH(AH$2,Galerias!$A$2:$A$37,0))*INDEX(Galerias!$O$2:$O$37,MATCH(AH$2,Galerias!$A$2:$A$37,0))^($A44-1),0))</f>
        <v/>
      </c>
      <c r="AI44" s="43">
        <f>IF(AND(INDEX(Galerias!$M$2:$M$37,MATCH(AI$2,Galerias!$A$2:$A$37,0))&lt;&gt;"",$A44&gt;INDEX(Galerias!$M$2:$M$37,MATCH(AI$2,Galerias!$A$2:$A$37,0))),"",ROUND(INDEX(Galerias!$N$2:$N$37,MATCH(AI$2,Galerias!$A$2:$A$37,0))*INDEX(Galerias!$O$2:$O$37,MATCH(AI$2,Galerias!$A$2:$A$37,0))^($A44-1),0))</f>
        <v/>
      </c>
      <c r="AJ44" s="43">
        <f>IF(AND(INDEX(Galerias!$M$2:$M$37,MATCH(AJ$2,Galerias!$A$2:$A$37,0))&lt;&gt;"",$A44&gt;INDEX(Galerias!$M$2:$M$37,MATCH(AJ$2,Galerias!$A$2:$A$37,0))),"",ROUND(INDEX(Galerias!$N$2:$N$37,MATCH(AJ$2,Galerias!$A$2:$A$37,0))*INDEX(Galerias!$O$2:$O$37,MATCH(AJ$2,Galerias!$A$2:$A$37,0))^($A44-1),0))</f>
        <v/>
      </c>
      <c r="AK44" s="43">
        <f>IF(AND(INDEX(Galerias!$M$2:$M$37,MATCH(AK$2,Galerias!$A$2:$A$37,0))&lt;&gt;"",$A44&gt;INDEX(Galerias!$M$2:$M$37,MATCH(AK$2,Galerias!$A$2:$A$37,0))),"",ROUND(INDEX(Galerias!$N$2:$N$37,MATCH(AK$2,Galerias!$A$2:$A$37,0))*INDEX(Galerias!$O$2:$O$37,MATCH(AK$2,Galerias!$A$2:$A$37,0))^($A44-1),0))</f>
        <v/>
      </c>
    </row>
    <row r="45" ht="15" customHeight="1" s="23">
      <c r="A45" s="25" t="n">
        <v>43</v>
      </c>
      <c r="B45" s="43">
        <f>IF(AND(INDEX(Galerias!$M$2:$M$37,MATCH(B$2,Galerias!$A$2:$A$37,0))&lt;&gt;"",$A45&gt;INDEX(Galerias!$M$2:$M$37,MATCH(B$2,Galerias!$A$2:$A$37,0))),"",ROUND(INDEX(Galerias!$N$2:$N$37,MATCH(B$2,Galerias!$A$2:$A$37,0))*INDEX(Galerias!$O$2:$O$37,MATCH(B$2,Galerias!$A$2:$A$37,0))^($A45-1),0))</f>
        <v/>
      </c>
      <c r="C45" s="43">
        <f>IF(AND(INDEX(Galerias!$M$2:$M$37,MATCH(C$2,Galerias!$A$2:$A$37,0))&lt;&gt;"",$A45&gt;INDEX(Galerias!$M$2:$M$37,MATCH(C$2,Galerias!$A$2:$A$37,0))),"",ROUND(INDEX(Galerias!$N$2:$N$37,MATCH(C$2,Galerias!$A$2:$A$37,0))*INDEX(Galerias!$O$2:$O$37,MATCH(C$2,Galerias!$A$2:$A$37,0))^($A45-1),0))</f>
        <v/>
      </c>
      <c r="D45" s="43">
        <f>IF(AND(INDEX(Galerias!$M$2:$M$37,MATCH(D$2,Galerias!$A$2:$A$37,0))&lt;&gt;"",$A45&gt;INDEX(Galerias!$M$2:$M$37,MATCH(D$2,Galerias!$A$2:$A$37,0))),"",ROUND(INDEX(Galerias!$N$2:$N$37,MATCH(D$2,Galerias!$A$2:$A$37,0))*INDEX(Galerias!$O$2:$O$37,MATCH(D$2,Galerias!$A$2:$A$37,0))^($A45-1),0))</f>
        <v/>
      </c>
      <c r="E45" s="43">
        <f>IF(AND(INDEX(Galerias!$M$2:$M$37,MATCH(E$2,Galerias!$A$2:$A$37,0))&lt;&gt;"",$A45&gt;INDEX(Galerias!$M$2:$M$37,MATCH(E$2,Galerias!$A$2:$A$37,0))),"",ROUND(INDEX(Galerias!$N$2:$N$37,MATCH(E$2,Galerias!$A$2:$A$37,0))*INDEX(Galerias!$O$2:$O$37,MATCH(E$2,Galerias!$A$2:$A$37,0))^($A45-1),0))</f>
        <v/>
      </c>
      <c r="F45" s="43">
        <f>IF(AND(INDEX(Galerias!$M$2:$M$37,MATCH(F$2,Galerias!$A$2:$A$37,0))&lt;&gt;"",$A45&gt;INDEX(Galerias!$M$2:$M$37,MATCH(F$2,Galerias!$A$2:$A$37,0))),"",ROUND(INDEX(Galerias!$N$2:$N$37,MATCH(F$2,Galerias!$A$2:$A$37,0))*INDEX(Galerias!$O$2:$O$37,MATCH(F$2,Galerias!$A$2:$A$37,0))^($A45-1),0))</f>
        <v/>
      </c>
      <c r="G45" s="43">
        <f>IF(AND(INDEX(Galerias!$M$2:$M$37,MATCH(G$2,Galerias!$A$2:$A$37,0))&lt;&gt;"",$A45&gt;INDEX(Galerias!$M$2:$M$37,MATCH(G$2,Galerias!$A$2:$A$37,0))),"",ROUND(INDEX(Galerias!$N$2:$N$37,MATCH(G$2,Galerias!$A$2:$A$37,0))*INDEX(Galerias!$O$2:$O$37,MATCH(G$2,Galerias!$A$2:$A$37,0))^($A45-1),0))</f>
        <v/>
      </c>
      <c r="H45" s="43">
        <f>IF(AND(INDEX(Galerias!$M$2:$M$37,MATCH(H$2,Galerias!$A$2:$A$37,0))&lt;&gt;"",$A45&gt;INDEX(Galerias!$M$2:$M$37,MATCH(H$2,Galerias!$A$2:$A$37,0))),"",ROUND(INDEX(Galerias!$N$2:$N$37,MATCH(H$2,Galerias!$A$2:$A$37,0))*INDEX(Galerias!$O$2:$O$37,MATCH(H$2,Galerias!$A$2:$A$37,0))^($A45-1),0))</f>
        <v/>
      </c>
      <c r="I45" s="43">
        <f>IF(AND(INDEX(Galerias!$M$2:$M$37,MATCH(I$2,Galerias!$A$2:$A$37,0))&lt;&gt;"",$A45&gt;INDEX(Galerias!$M$2:$M$37,MATCH(I$2,Galerias!$A$2:$A$37,0))),"",ROUND(INDEX(Galerias!$N$2:$N$37,MATCH(I$2,Galerias!$A$2:$A$37,0))*INDEX(Galerias!$O$2:$O$37,MATCH(I$2,Galerias!$A$2:$A$37,0))^($A45-1),0))</f>
        <v/>
      </c>
      <c r="J45" s="43">
        <f>IF(AND(INDEX(Galerias!$M$2:$M$37,MATCH(J$2,Galerias!$A$2:$A$37,0))&lt;&gt;"",$A45&gt;INDEX(Galerias!$M$2:$M$37,MATCH(J$2,Galerias!$A$2:$A$37,0))),"",ROUND(INDEX(Galerias!$N$2:$N$37,MATCH(J$2,Galerias!$A$2:$A$37,0))*INDEX(Galerias!$O$2:$O$37,MATCH(J$2,Galerias!$A$2:$A$37,0))^($A45-1),0))</f>
        <v/>
      </c>
      <c r="K45" s="43">
        <f>IF(AND(INDEX(Galerias!$M$2:$M$37,MATCH(K$2,Galerias!$A$2:$A$37,0))&lt;&gt;"",$A45&gt;INDEX(Galerias!$M$2:$M$37,MATCH(K$2,Galerias!$A$2:$A$37,0))),"",ROUND(INDEX(Galerias!$N$2:$N$37,MATCH(K$2,Galerias!$A$2:$A$37,0))*INDEX(Galerias!$O$2:$O$37,MATCH(K$2,Galerias!$A$2:$A$37,0))^($A45-1),0))</f>
        <v/>
      </c>
      <c r="L45" s="43">
        <f>IF(AND(INDEX(Galerias!$M$2:$M$37,MATCH(L$2,Galerias!$A$2:$A$37,0))&lt;&gt;"",$A45&gt;INDEX(Galerias!$M$2:$M$37,MATCH(L$2,Galerias!$A$2:$A$37,0))),"",ROUND(INDEX(Galerias!$N$2:$N$37,MATCH(L$2,Galerias!$A$2:$A$37,0))*INDEX(Galerias!$O$2:$O$37,MATCH(L$2,Galerias!$A$2:$A$37,0))^($A45-1),0))</f>
        <v/>
      </c>
      <c r="M45" s="43">
        <f>IF(AND(INDEX(Galerias!$M$2:$M$37,MATCH(M$2,Galerias!$A$2:$A$37,0))&lt;&gt;"",$A45&gt;INDEX(Galerias!$M$2:$M$37,MATCH(M$2,Galerias!$A$2:$A$37,0))),"",ROUND(INDEX(Galerias!$N$2:$N$37,MATCH(M$2,Galerias!$A$2:$A$37,0))*INDEX(Galerias!$O$2:$O$37,MATCH(M$2,Galerias!$A$2:$A$37,0))^($A45-1),0))</f>
        <v/>
      </c>
      <c r="N45" s="43">
        <f>IF(AND(INDEX(Galerias!$M$2:$M$37,MATCH(N$2,Galerias!$A$2:$A$37,0))&lt;&gt;"",$A45&gt;INDEX(Galerias!$M$2:$M$37,MATCH(N$2,Galerias!$A$2:$A$37,0))),"",ROUND(INDEX(Galerias!$N$2:$N$37,MATCH(N$2,Galerias!$A$2:$A$37,0))*INDEX(Galerias!$O$2:$O$37,MATCH(N$2,Galerias!$A$2:$A$37,0))^($A45-1),0))</f>
        <v/>
      </c>
      <c r="O45" s="43">
        <f>IF(AND(INDEX(Galerias!$M$2:$M$37,MATCH(O$2,Galerias!$A$2:$A$37,0))&lt;&gt;"",$A45&gt;INDEX(Galerias!$M$2:$M$37,MATCH(O$2,Galerias!$A$2:$A$37,0))),"",ROUND(INDEX(Galerias!$N$2:$N$37,MATCH(O$2,Galerias!$A$2:$A$37,0))*INDEX(Galerias!$O$2:$O$37,MATCH(O$2,Galerias!$A$2:$A$37,0))^($A45-1),0))</f>
        <v/>
      </c>
      <c r="P45" s="43">
        <f>IF(AND(INDEX(Galerias!$M$2:$M$37,MATCH(P$2,Galerias!$A$2:$A$37,0))&lt;&gt;"",$A45&gt;INDEX(Galerias!$M$2:$M$37,MATCH(P$2,Galerias!$A$2:$A$37,0))),"",ROUND(INDEX(Galerias!$N$2:$N$37,MATCH(P$2,Galerias!$A$2:$A$37,0))*INDEX(Galerias!$O$2:$O$37,MATCH(P$2,Galerias!$A$2:$A$37,0))^($A45-1),0))</f>
        <v/>
      </c>
      <c r="Q45" s="43">
        <f>IF(AND(INDEX(Galerias!$M$2:$M$37,MATCH(Q$2,Galerias!$A$2:$A$37,0))&lt;&gt;"",$A45&gt;INDEX(Galerias!$M$2:$M$37,MATCH(Q$2,Galerias!$A$2:$A$37,0))),"",ROUND(INDEX(Galerias!$N$2:$N$37,MATCH(Q$2,Galerias!$A$2:$A$37,0))*INDEX(Galerias!$O$2:$O$37,MATCH(Q$2,Galerias!$A$2:$A$37,0))^($A45-1),0))</f>
        <v/>
      </c>
      <c r="R45" s="43">
        <f>IF(AND(INDEX(Galerias!$M$2:$M$37,MATCH(R$2,Galerias!$A$2:$A$37,0))&lt;&gt;"",$A45&gt;INDEX(Galerias!$M$2:$M$37,MATCH(R$2,Galerias!$A$2:$A$37,0))),"",ROUND(INDEX(Galerias!$N$2:$N$37,MATCH(R$2,Galerias!$A$2:$A$37,0))*INDEX(Galerias!$O$2:$O$37,MATCH(R$2,Galerias!$A$2:$A$37,0))^($A45-1),0))</f>
        <v/>
      </c>
      <c r="S45" s="43">
        <f>IF(AND(INDEX(Galerias!$M$2:$M$37,MATCH(S$2,Galerias!$A$2:$A$37,0))&lt;&gt;"",$A45&gt;INDEX(Galerias!$M$2:$M$37,MATCH(S$2,Galerias!$A$2:$A$37,0))),"",ROUND(INDEX(Galerias!$N$2:$N$37,MATCH(S$2,Galerias!$A$2:$A$37,0))*INDEX(Galerias!$O$2:$O$37,MATCH(S$2,Galerias!$A$2:$A$37,0))^($A45-1),0))</f>
        <v/>
      </c>
      <c r="T45" s="43">
        <f>IF(AND(INDEX(Galerias!$M$2:$M$37,MATCH(T$2,Galerias!$A$2:$A$37,0))&lt;&gt;"",$A45&gt;INDEX(Galerias!$M$2:$M$37,MATCH(T$2,Galerias!$A$2:$A$37,0))),"",ROUND(INDEX(Galerias!$N$2:$N$37,MATCH(T$2,Galerias!$A$2:$A$37,0))*INDEX(Galerias!$O$2:$O$37,MATCH(T$2,Galerias!$A$2:$A$37,0))^($A45-1),0))</f>
        <v/>
      </c>
      <c r="U45" s="43">
        <f>IF(AND(INDEX(Galerias!$M$2:$M$37,MATCH(U$2,Galerias!$A$2:$A$37,0))&lt;&gt;"",$A45&gt;INDEX(Galerias!$M$2:$M$37,MATCH(U$2,Galerias!$A$2:$A$37,0))),"",ROUND(INDEX(Galerias!$N$2:$N$37,MATCH(U$2,Galerias!$A$2:$A$37,0))*INDEX(Galerias!$O$2:$O$37,MATCH(U$2,Galerias!$A$2:$A$37,0))^($A45-1),0))</f>
        <v/>
      </c>
      <c r="V45" s="43">
        <f>IF(AND(INDEX(Galerias!$M$2:$M$37,MATCH(V$2,Galerias!$A$2:$A$37,0))&lt;&gt;"",$A45&gt;INDEX(Galerias!$M$2:$M$37,MATCH(V$2,Galerias!$A$2:$A$37,0))),"",ROUND(INDEX(Galerias!$N$2:$N$37,MATCH(V$2,Galerias!$A$2:$A$37,0))*INDEX(Galerias!$O$2:$O$37,MATCH(V$2,Galerias!$A$2:$A$37,0))^($A45-1),0))</f>
        <v/>
      </c>
      <c r="W45" s="43">
        <f>IF(AND(INDEX(Galerias!$M$2:$M$37,MATCH(W$2,Galerias!$A$2:$A$37,0))&lt;&gt;"",$A45&gt;INDEX(Galerias!$M$2:$M$37,MATCH(W$2,Galerias!$A$2:$A$37,0))),"",ROUND(INDEX(Galerias!$N$2:$N$37,MATCH(W$2,Galerias!$A$2:$A$37,0))*INDEX(Galerias!$O$2:$O$37,MATCH(W$2,Galerias!$A$2:$A$37,0))^($A45-1),0))</f>
        <v/>
      </c>
      <c r="X45" s="43">
        <f>IF(AND(INDEX(Galerias!$M$2:$M$37,MATCH(X$2,Galerias!$A$2:$A$37,0))&lt;&gt;"",$A45&gt;INDEX(Galerias!$M$2:$M$37,MATCH(X$2,Galerias!$A$2:$A$37,0))),"",ROUND(INDEX(Galerias!$N$2:$N$37,MATCH(X$2,Galerias!$A$2:$A$37,0))*INDEX(Galerias!$O$2:$O$37,MATCH(X$2,Galerias!$A$2:$A$37,0))^($A45-1),0))</f>
        <v/>
      </c>
      <c r="Y45" s="43">
        <f>IF(AND(INDEX(Galerias!$M$2:$M$37,MATCH(Y$2,Galerias!$A$2:$A$37,0))&lt;&gt;"",$A45&gt;INDEX(Galerias!$M$2:$M$37,MATCH(Y$2,Galerias!$A$2:$A$37,0))),"",ROUND(INDEX(Galerias!$N$2:$N$37,MATCH(Y$2,Galerias!$A$2:$A$37,0))*INDEX(Galerias!$O$2:$O$37,MATCH(Y$2,Galerias!$A$2:$A$37,0))^($A45-1),0))</f>
        <v/>
      </c>
      <c r="Z45" s="43">
        <f>IF(AND(INDEX(Galerias!$M$2:$M$37,MATCH(Z$2,Galerias!$A$2:$A$37,0))&lt;&gt;"",$A45&gt;INDEX(Galerias!$M$2:$M$37,MATCH(Z$2,Galerias!$A$2:$A$37,0))),"",ROUND(INDEX(Galerias!$N$2:$N$37,MATCH(Z$2,Galerias!$A$2:$A$37,0))*INDEX(Galerias!$O$2:$O$37,MATCH(Z$2,Galerias!$A$2:$A$37,0))^($A45-1),0))</f>
        <v/>
      </c>
      <c r="AA45" s="43">
        <f>IF(AND(INDEX(Galerias!$M$2:$M$37,MATCH(AA$2,Galerias!$A$2:$A$37,0))&lt;&gt;"",$A45&gt;INDEX(Galerias!$M$2:$M$37,MATCH(AA$2,Galerias!$A$2:$A$37,0))),"",ROUND(INDEX(Galerias!$N$2:$N$37,MATCH(AA$2,Galerias!$A$2:$A$37,0))*INDEX(Galerias!$O$2:$O$37,MATCH(AA$2,Galerias!$A$2:$A$37,0))^($A45-1),0))</f>
        <v/>
      </c>
      <c r="AB45" s="43">
        <f>IF(AND(INDEX(Galerias!$M$2:$M$37,MATCH(AB$2,Galerias!$A$2:$A$37,0))&lt;&gt;"",$A45&gt;INDEX(Galerias!$M$2:$M$37,MATCH(AB$2,Galerias!$A$2:$A$37,0))),"",ROUND(INDEX(Galerias!$N$2:$N$37,MATCH(AB$2,Galerias!$A$2:$A$37,0))*INDEX(Galerias!$O$2:$O$37,MATCH(AB$2,Galerias!$A$2:$A$37,0))^($A45-1),0))</f>
        <v/>
      </c>
      <c r="AC45" s="43">
        <f>IF(AND(INDEX(Galerias!$M$2:$M$37,MATCH(AC$2,Galerias!$A$2:$A$37,0))&lt;&gt;"",$A45&gt;INDEX(Galerias!$M$2:$M$37,MATCH(AC$2,Galerias!$A$2:$A$37,0))),"",ROUND(INDEX(Galerias!$N$2:$N$37,MATCH(AC$2,Galerias!$A$2:$A$37,0))*INDEX(Galerias!$O$2:$O$37,MATCH(AC$2,Galerias!$A$2:$A$37,0))^($A45-1),0))</f>
        <v/>
      </c>
      <c r="AD45" s="43">
        <f>IF(AND(INDEX(Galerias!$M$2:$M$37,MATCH(AD$2,Galerias!$A$2:$A$37,0))&lt;&gt;"",$A45&gt;INDEX(Galerias!$M$2:$M$37,MATCH(AD$2,Galerias!$A$2:$A$37,0))),"",ROUND(INDEX(Galerias!$N$2:$N$37,MATCH(AD$2,Galerias!$A$2:$A$37,0))*INDEX(Galerias!$O$2:$O$37,MATCH(AD$2,Galerias!$A$2:$A$37,0))^($A45-1),0))</f>
        <v/>
      </c>
      <c r="AE45" s="43">
        <f>IF(AND(INDEX(Galerias!$M$2:$M$37,MATCH(AE$2,Galerias!$A$2:$A$37,0))&lt;&gt;"",$A45&gt;INDEX(Galerias!$M$2:$M$37,MATCH(AE$2,Galerias!$A$2:$A$37,0))),"",ROUND(INDEX(Galerias!$N$2:$N$37,MATCH(AE$2,Galerias!$A$2:$A$37,0))*INDEX(Galerias!$O$2:$O$37,MATCH(AE$2,Galerias!$A$2:$A$37,0))^($A45-1),0))</f>
        <v/>
      </c>
      <c r="AF45" s="43">
        <f>IF(AND(INDEX(Galerias!$M$2:$M$37,MATCH(AF$2,Galerias!$A$2:$A$37,0))&lt;&gt;"",$A45&gt;INDEX(Galerias!$M$2:$M$37,MATCH(AF$2,Galerias!$A$2:$A$37,0))),"",ROUND(INDEX(Galerias!$N$2:$N$37,MATCH(AF$2,Galerias!$A$2:$A$37,0))*INDEX(Galerias!$O$2:$O$37,MATCH(AF$2,Galerias!$A$2:$A$37,0))^($A45-1),0))</f>
        <v/>
      </c>
      <c r="AG45" s="43">
        <f>IF(AND(INDEX(Galerias!$M$2:$M$37,MATCH(AG$2,Galerias!$A$2:$A$37,0))&lt;&gt;"",$A45&gt;INDEX(Galerias!$M$2:$M$37,MATCH(AG$2,Galerias!$A$2:$A$37,0))),"",ROUND(INDEX(Galerias!$N$2:$N$37,MATCH(AG$2,Galerias!$A$2:$A$37,0))*INDEX(Galerias!$O$2:$O$37,MATCH(AG$2,Galerias!$A$2:$A$37,0))^($A45-1),0))</f>
        <v/>
      </c>
      <c r="AH45" s="43">
        <f>IF(AND(INDEX(Galerias!$M$2:$M$37,MATCH(AH$2,Galerias!$A$2:$A$37,0))&lt;&gt;"",$A45&gt;INDEX(Galerias!$M$2:$M$37,MATCH(AH$2,Galerias!$A$2:$A$37,0))),"",ROUND(INDEX(Galerias!$N$2:$N$37,MATCH(AH$2,Galerias!$A$2:$A$37,0))*INDEX(Galerias!$O$2:$O$37,MATCH(AH$2,Galerias!$A$2:$A$37,0))^($A45-1),0))</f>
        <v/>
      </c>
      <c r="AI45" s="43">
        <f>IF(AND(INDEX(Galerias!$M$2:$M$37,MATCH(AI$2,Galerias!$A$2:$A$37,0))&lt;&gt;"",$A45&gt;INDEX(Galerias!$M$2:$M$37,MATCH(AI$2,Galerias!$A$2:$A$37,0))),"",ROUND(INDEX(Galerias!$N$2:$N$37,MATCH(AI$2,Galerias!$A$2:$A$37,0))*INDEX(Galerias!$O$2:$O$37,MATCH(AI$2,Galerias!$A$2:$A$37,0))^($A45-1),0))</f>
        <v/>
      </c>
      <c r="AJ45" s="43">
        <f>IF(AND(INDEX(Galerias!$M$2:$M$37,MATCH(AJ$2,Galerias!$A$2:$A$37,0))&lt;&gt;"",$A45&gt;INDEX(Galerias!$M$2:$M$37,MATCH(AJ$2,Galerias!$A$2:$A$37,0))),"",ROUND(INDEX(Galerias!$N$2:$N$37,MATCH(AJ$2,Galerias!$A$2:$A$37,0))*INDEX(Galerias!$O$2:$O$37,MATCH(AJ$2,Galerias!$A$2:$A$37,0))^($A45-1),0))</f>
        <v/>
      </c>
      <c r="AK45" s="43">
        <f>IF(AND(INDEX(Galerias!$M$2:$M$37,MATCH(AK$2,Galerias!$A$2:$A$37,0))&lt;&gt;"",$A45&gt;INDEX(Galerias!$M$2:$M$37,MATCH(AK$2,Galerias!$A$2:$A$37,0))),"",ROUND(INDEX(Galerias!$N$2:$N$37,MATCH(AK$2,Galerias!$A$2:$A$37,0))*INDEX(Galerias!$O$2:$O$37,MATCH(AK$2,Galerias!$A$2:$A$37,0))^($A45-1),0))</f>
        <v/>
      </c>
    </row>
    <row r="46" ht="15" customHeight="1" s="23">
      <c r="A46" s="25" t="n">
        <v>44</v>
      </c>
      <c r="B46" s="43">
        <f>IF(AND(INDEX(Galerias!$M$2:$M$37,MATCH(B$2,Galerias!$A$2:$A$37,0))&lt;&gt;"",$A46&gt;INDEX(Galerias!$M$2:$M$37,MATCH(B$2,Galerias!$A$2:$A$37,0))),"",ROUND(INDEX(Galerias!$N$2:$N$37,MATCH(B$2,Galerias!$A$2:$A$37,0))*INDEX(Galerias!$O$2:$O$37,MATCH(B$2,Galerias!$A$2:$A$37,0))^($A46-1),0))</f>
        <v/>
      </c>
      <c r="C46" s="43">
        <f>IF(AND(INDEX(Galerias!$M$2:$M$37,MATCH(C$2,Galerias!$A$2:$A$37,0))&lt;&gt;"",$A46&gt;INDEX(Galerias!$M$2:$M$37,MATCH(C$2,Galerias!$A$2:$A$37,0))),"",ROUND(INDEX(Galerias!$N$2:$N$37,MATCH(C$2,Galerias!$A$2:$A$37,0))*INDEX(Galerias!$O$2:$O$37,MATCH(C$2,Galerias!$A$2:$A$37,0))^($A46-1),0))</f>
        <v/>
      </c>
      <c r="D46" s="43">
        <f>IF(AND(INDEX(Galerias!$M$2:$M$37,MATCH(D$2,Galerias!$A$2:$A$37,0))&lt;&gt;"",$A46&gt;INDEX(Galerias!$M$2:$M$37,MATCH(D$2,Galerias!$A$2:$A$37,0))),"",ROUND(INDEX(Galerias!$N$2:$N$37,MATCH(D$2,Galerias!$A$2:$A$37,0))*INDEX(Galerias!$O$2:$O$37,MATCH(D$2,Galerias!$A$2:$A$37,0))^($A46-1),0))</f>
        <v/>
      </c>
      <c r="E46" s="43">
        <f>IF(AND(INDEX(Galerias!$M$2:$M$37,MATCH(E$2,Galerias!$A$2:$A$37,0))&lt;&gt;"",$A46&gt;INDEX(Galerias!$M$2:$M$37,MATCH(E$2,Galerias!$A$2:$A$37,0))),"",ROUND(INDEX(Galerias!$N$2:$N$37,MATCH(E$2,Galerias!$A$2:$A$37,0))*INDEX(Galerias!$O$2:$O$37,MATCH(E$2,Galerias!$A$2:$A$37,0))^($A46-1),0))</f>
        <v/>
      </c>
      <c r="F46" s="43">
        <f>IF(AND(INDEX(Galerias!$M$2:$M$37,MATCH(F$2,Galerias!$A$2:$A$37,0))&lt;&gt;"",$A46&gt;INDEX(Galerias!$M$2:$M$37,MATCH(F$2,Galerias!$A$2:$A$37,0))),"",ROUND(INDEX(Galerias!$N$2:$N$37,MATCH(F$2,Galerias!$A$2:$A$37,0))*INDEX(Galerias!$O$2:$O$37,MATCH(F$2,Galerias!$A$2:$A$37,0))^($A46-1),0))</f>
        <v/>
      </c>
      <c r="G46" s="43">
        <f>IF(AND(INDEX(Galerias!$M$2:$M$37,MATCH(G$2,Galerias!$A$2:$A$37,0))&lt;&gt;"",$A46&gt;INDEX(Galerias!$M$2:$M$37,MATCH(G$2,Galerias!$A$2:$A$37,0))),"",ROUND(INDEX(Galerias!$N$2:$N$37,MATCH(G$2,Galerias!$A$2:$A$37,0))*INDEX(Galerias!$O$2:$O$37,MATCH(G$2,Galerias!$A$2:$A$37,0))^($A46-1),0))</f>
        <v/>
      </c>
      <c r="H46" s="43">
        <f>IF(AND(INDEX(Galerias!$M$2:$M$37,MATCH(H$2,Galerias!$A$2:$A$37,0))&lt;&gt;"",$A46&gt;INDEX(Galerias!$M$2:$M$37,MATCH(H$2,Galerias!$A$2:$A$37,0))),"",ROUND(INDEX(Galerias!$N$2:$N$37,MATCH(H$2,Galerias!$A$2:$A$37,0))*INDEX(Galerias!$O$2:$O$37,MATCH(H$2,Galerias!$A$2:$A$37,0))^($A46-1),0))</f>
        <v/>
      </c>
      <c r="I46" s="43">
        <f>IF(AND(INDEX(Galerias!$M$2:$M$37,MATCH(I$2,Galerias!$A$2:$A$37,0))&lt;&gt;"",$A46&gt;INDEX(Galerias!$M$2:$M$37,MATCH(I$2,Galerias!$A$2:$A$37,0))),"",ROUND(INDEX(Galerias!$N$2:$N$37,MATCH(I$2,Galerias!$A$2:$A$37,0))*INDEX(Galerias!$O$2:$O$37,MATCH(I$2,Galerias!$A$2:$A$37,0))^($A46-1),0))</f>
        <v/>
      </c>
      <c r="J46" s="43">
        <f>IF(AND(INDEX(Galerias!$M$2:$M$37,MATCH(J$2,Galerias!$A$2:$A$37,0))&lt;&gt;"",$A46&gt;INDEX(Galerias!$M$2:$M$37,MATCH(J$2,Galerias!$A$2:$A$37,0))),"",ROUND(INDEX(Galerias!$N$2:$N$37,MATCH(J$2,Galerias!$A$2:$A$37,0))*INDEX(Galerias!$O$2:$O$37,MATCH(J$2,Galerias!$A$2:$A$37,0))^($A46-1),0))</f>
        <v/>
      </c>
      <c r="K46" s="43">
        <f>IF(AND(INDEX(Galerias!$M$2:$M$37,MATCH(K$2,Galerias!$A$2:$A$37,0))&lt;&gt;"",$A46&gt;INDEX(Galerias!$M$2:$M$37,MATCH(K$2,Galerias!$A$2:$A$37,0))),"",ROUND(INDEX(Galerias!$N$2:$N$37,MATCH(K$2,Galerias!$A$2:$A$37,0))*INDEX(Galerias!$O$2:$O$37,MATCH(K$2,Galerias!$A$2:$A$37,0))^($A46-1),0))</f>
        <v/>
      </c>
      <c r="L46" s="43">
        <f>IF(AND(INDEX(Galerias!$M$2:$M$37,MATCH(L$2,Galerias!$A$2:$A$37,0))&lt;&gt;"",$A46&gt;INDEX(Galerias!$M$2:$M$37,MATCH(L$2,Galerias!$A$2:$A$37,0))),"",ROUND(INDEX(Galerias!$N$2:$N$37,MATCH(L$2,Galerias!$A$2:$A$37,0))*INDEX(Galerias!$O$2:$O$37,MATCH(L$2,Galerias!$A$2:$A$37,0))^($A46-1),0))</f>
        <v/>
      </c>
      <c r="M46" s="43">
        <f>IF(AND(INDEX(Galerias!$M$2:$M$37,MATCH(M$2,Galerias!$A$2:$A$37,0))&lt;&gt;"",$A46&gt;INDEX(Galerias!$M$2:$M$37,MATCH(M$2,Galerias!$A$2:$A$37,0))),"",ROUND(INDEX(Galerias!$N$2:$N$37,MATCH(M$2,Galerias!$A$2:$A$37,0))*INDEX(Galerias!$O$2:$O$37,MATCH(M$2,Galerias!$A$2:$A$37,0))^($A46-1),0))</f>
        <v/>
      </c>
      <c r="N46" s="43">
        <f>IF(AND(INDEX(Galerias!$M$2:$M$37,MATCH(N$2,Galerias!$A$2:$A$37,0))&lt;&gt;"",$A46&gt;INDEX(Galerias!$M$2:$M$37,MATCH(N$2,Galerias!$A$2:$A$37,0))),"",ROUND(INDEX(Galerias!$N$2:$N$37,MATCH(N$2,Galerias!$A$2:$A$37,0))*INDEX(Galerias!$O$2:$O$37,MATCH(N$2,Galerias!$A$2:$A$37,0))^($A46-1),0))</f>
        <v/>
      </c>
      <c r="O46" s="43">
        <f>IF(AND(INDEX(Galerias!$M$2:$M$37,MATCH(O$2,Galerias!$A$2:$A$37,0))&lt;&gt;"",$A46&gt;INDEX(Galerias!$M$2:$M$37,MATCH(O$2,Galerias!$A$2:$A$37,0))),"",ROUND(INDEX(Galerias!$N$2:$N$37,MATCH(O$2,Galerias!$A$2:$A$37,0))*INDEX(Galerias!$O$2:$O$37,MATCH(O$2,Galerias!$A$2:$A$37,0))^($A46-1),0))</f>
        <v/>
      </c>
      <c r="P46" s="43">
        <f>IF(AND(INDEX(Galerias!$M$2:$M$37,MATCH(P$2,Galerias!$A$2:$A$37,0))&lt;&gt;"",$A46&gt;INDEX(Galerias!$M$2:$M$37,MATCH(P$2,Galerias!$A$2:$A$37,0))),"",ROUND(INDEX(Galerias!$N$2:$N$37,MATCH(P$2,Galerias!$A$2:$A$37,0))*INDEX(Galerias!$O$2:$O$37,MATCH(P$2,Galerias!$A$2:$A$37,0))^($A46-1),0))</f>
        <v/>
      </c>
      <c r="Q46" s="43">
        <f>IF(AND(INDEX(Galerias!$M$2:$M$37,MATCH(Q$2,Galerias!$A$2:$A$37,0))&lt;&gt;"",$A46&gt;INDEX(Galerias!$M$2:$M$37,MATCH(Q$2,Galerias!$A$2:$A$37,0))),"",ROUND(INDEX(Galerias!$N$2:$N$37,MATCH(Q$2,Galerias!$A$2:$A$37,0))*INDEX(Galerias!$O$2:$O$37,MATCH(Q$2,Galerias!$A$2:$A$37,0))^($A46-1),0))</f>
        <v/>
      </c>
      <c r="R46" s="43">
        <f>IF(AND(INDEX(Galerias!$M$2:$M$37,MATCH(R$2,Galerias!$A$2:$A$37,0))&lt;&gt;"",$A46&gt;INDEX(Galerias!$M$2:$M$37,MATCH(R$2,Galerias!$A$2:$A$37,0))),"",ROUND(INDEX(Galerias!$N$2:$N$37,MATCH(R$2,Galerias!$A$2:$A$37,0))*INDEX(Galerias!$O$2:$O$37,MATCH(R$2,Galerias!$A$2:$A$37,0))^($A46-1),0))</f>
        <v/>
      </c>
      <c r="S46" s="43">
        <f>IF(AND(INDEX(Galerias!$M$2:$M$37,MATCH(S$2,Galerias!$A$2:$A$37,0))&lt;&gt;"",$A46&gt;INDEX(Galerias!$M$2:$M$37,MATCH(S$2,Galerias!$A$2:$A$37,0))),"",ROUND(INDEX(Galerias!$N$2:$N$37,MATCH(S$2,Galerias!$A$2:$A$37,0))*INDEX(Galerias!$O$2:$O$37,MATCH(S$2,Galerias!$A$2:$A$37,0))^($A46-1),0))</f>
        <v/>
      </c>
      <c r="T46" s="43">
        <f>IF(AND(INDEX(Galerias!$M$2:$M$37,MATCH(T$2,Galerias!$A$2:$A$37,0))&lt;&gt;"",$A46&gt;INDEX(Galerias!$M$2:$M$37,MATCH(T$2,Galerias!$A$2:$A$37,0))),"",ROUND(INDEX(Galerias!$N$2:$N$37,MATCH(T$2,Galerias!$A$2:$A$37,0))*INDEX(Galerias!$O$2:$O$37,MATCH(T$2,Galerias!$A$2:$A$37,0))^($A46-1),0))</f>
        <v/>
      </c>
      <c r="U46" s="43">
        <f>IF(AND(INDEX(Galerias!$M$2:$M$37,MATCH(U$2,Galerias!$A$2:$A$37,0))&lt;&gt;"",$A46&gt;INDEX(Galerias!$M$2:$M$37,MATCH(U$2,Galerias!$A$2:$A$37,0))),"",ROUND(INDEX(Galerias!$N$2:$N$37,MATCH(U$2,Galerias!$A$2:$A$37,0))*INDEX(Galerias!$O$2:$O$37,MATCH(U$2,Galerias!$A$2:$A$37,0))^($A46-1),0))</f>
        <v/>
      </c>
      <c r="V46" s="43">
        <f>IF(AND(INDEX(Galerias!$M$2:$M$37,MATCH(V$2,Galerias!$A$2:$A$37,0))&lt;&gt;"",$A46&gt;INDEX(Galerias!$M$2:$M$37,MATCH(V$2,Galerias!$A$2:$A$37,0))),"",ROUND(INDEX(Galerias!$N$2:$N$37,MATCH(V$2,Galerias!$A$2:$A$37,0))*INDEX(Galerias!$O$2:$O$37,MATCH(V$2,Galerias!$A$2:$A$37,0))^($A46-1),0))</f>
        <v/>
      </c>
      <c r="W46" s="43">
        <f>IF(AND(INDEX(Galerias!$M$2:$M$37,MATCH(W$2,Galerias!$A$2:$A$37,0))&lt;&gt;"",$A46&gt;INDEX(Galerias!$M$2:$M$37,MATCH(W$2,Galerias!$A$2:$A$37,0))),"",ROUND(INDEX(Galerias!$N$2:$N$37,MATCH(W$2,Galerias!$A$2:$A$37,0))*INDEX(Galerias!$O$2:$O$37,MATCH(W$2,Galerias!$A$2:$A$37,0))^($A46-1),0))</f>
        <v/>
      </c>
      <c r="X46" s="43">
        <f>IF(AND(INDEX(Galerias!$M$2:$M$37,MATCH(X$2,Galerias!$A$2:$A$37,0))&lt;&gt;"",$A46&gt;INDEX(Galerias!$M$2:$M$37,MATCH(X$2,Galerias!$A$2:$A$37,0))),"",ROUND(INDEX(Galerias!$N$2:$N$37,MATCH(X$2,Galerias!$A$2:$A$37,0))*INDEX(Galerias!$O$2:$O$37,MATCH(X$2,Galerias!$A$2:$A$37,0))^($A46-1),0))</f>
        <v/>
      </c>
      <c r="Y46" s="43">
        <f>IF(AND(INDEX(Galerias!$M$2:$M$37,MATCH(Y$2,Galerias!$A$2:$A$37,0))&lt;&gt;"",$A46&gt;INDEX(Galerias!$M$2:$M$37,MATCH(Y$2,Galerias!$A$2:$A$37,0))),"",ROUND(INDEX(Galerias!$N$2:$N$37,MATCH(Y$2,Galerias!$A$2:$A$37,0))*INDEX(Galerias!$O$2:$O$37,MATCH(Y$2,Galerias!$A$2:$A$37,0))^($A46-1),0))</f>
        <v/>
      </c>
      <c r="Z46" s="43">
        <f>IF(AND(INDEX(Galerias!$M$2:$M$37,MATCH(Z$2,Galerias!$A$2:$A$37,0))&lt;&gt;"",$A46&gt;INDEX(Galerias!$M$2:$M$37,MATCH(Z$2,Galerias!$A$2:$A$37,0))),"",ROUND(INDEX(Galerias!$N$2:$N$37,MATCH(Z$2,Galerias!$A$2:$A$37,0))*INDEX(Galerias!$O$2:$O$37,MATCH(Z$2,Galerias!$A$2:$A$37,0))^($A46-1),0))</f>
        <v/>
      </c>
      <c r="AA46" s="43">
        <f>IF(AND(INDEX(Galerias!$M$2:$M$37,MATCH(AA$2,Galerias!$A$2:$A$37,0))&lt;&gt;"",$A46&gt;INDEX(Galerias!$M$2:$M$37,MATCH(AA$2,Galerias!$A$2:$A$37,0))),"",ROUND(INDEX(Galerias!$N$2:$N$37,MATCH(AA$2,Galerias!$A$2:$A$37,0))*INDEX(Galerias!$O$2:$O$37,MATCH(AA$2,Galerias!$A$2:$A$37,0))^($A46-1),0))</f>
        <v/>
      </c>
      <c r="AB46" s="43">
        <f>IF(AND(INDEX(Galerias!$M$2:$M$37,MATCH(AB$2,Galerias!$A$2:$A$37,0))&lt;&gt;"",$A46&gt;INDEX(Galerias!$M$2:$M$37,MATCH(AB$2,Galerias!$A$2:$A$37,0))),"",ROUND(INDEX(Galerias!$N$2:$N$37,MATCH(AB$2,Galerias!$A$2:$A$37,0))*INDEX(Galerias!$O$2:$O$37,MATCH(AB$2,Galerias!$A$2:$A$37,0))^($A46-1),0))</f>
        <v/>
      </c>
      <c r="AC46" s="43">
        <f>IF(AND(INDEX(Galerias!$M$2:$M$37,MATCH(AC$2,Galerias!$A$2:$A$37,0))&lt;&gt;"",$A46&gt;INDEX(Galerias!$M$2:$M$37,MATCH(AC$2,Galerias!$A$2:$A$37,0))),"",ROUND(INDEX(Galerias!$N$2:$N$37,MATCH(AC$2,Galerias!$A$2:$A$37,0))*INDEX(Galerias!$O$2:$O$37,MATCH(AC$2,Galerias!$A$2:$A$37,0))^($A46-1),0))</f>
        <v/>
      </c>
      <c r="AD46" s="43">
        <f>IF(AND(INDEX(Galerias!$M$2:$M$37,MATCH(AD$2,Galerias!$A$2:$A$37,0))&lt;&gt;"",$A46&gt;INDEX(Galerias!$M$2:$M$37,MATCH(AD$2,Galerias!$A$2:$A$37,0))),"",ROUND(INDEX(Galerias!$N$2:$N$37,MATCH(AD$2,Galerias!$A$2:$A$37,0))*INDEX(Galerias!$O$2:$O$37,MATCH(AD$2,Galerias!$A$2:$A$37,0))^($A46-1),0))</f>
        <v/>
      </c>
      <c r="AE46" s="43">
        <f>IF(AND(INDEX(Galerias!$M$2:$M$37,MATCH(AE$2,Galerias!$A$2:$A$37,0))&lt;&gt;"",$A46&gt;INDEX(Galerias!$M$2:$M$37,MATCH(AE$2,Galerias!$A$2:$A$37,0))),"",ROUND(INDEX(Galerias!$N$2:$N$37,MATCH(AE$2,Galerias!$A$2:$A$37,0))*INDEX(Galerias!$O$2:$O$37,MATCH(AE$2,Galerias!$A$2:$A$37,0))^($A46-1),0))</f>
        <v/>
      </c>
      <c r="AF46" s="43">
        <f>IF(AND(INDEX(Galerias!$M$2:$M$37,MATCH(AF$2,Galerias!$A$2:$A$37,0))&lt;&gt;"",$A46&gt;INDEX(Galerias!$M$2:$M$37,MATCH(AF$2,Galerias!$A$2:$A$37,0))),"",ROUND(INDEX(Galerias!$N$2:$N$37,MATCH(AF$2,Galerias!$A$2:$A$37,0))*INDEX(Galerias!$O$2:$O$37,MATCH(AF$2,Galerias!$A$2:$A$37,0))^($A46-1),0))</f>
        <v/>
      </c>
      <c r="AG46" s="43">
        <f>IF(AND(INDEX(Galerias!$M$2:$M$37,MATCH(AG$2,Galerias!$A$2:$A$37,0))&lt;&gt;"",$A46&gt;INDEX(Galerias!$M$2:$M$37,MATCH(AG$2,Galerias!$A$2:$A$37,0))),"",ROUND(INDEX(Galerias!$N$2:$N$37,MATCH(AG$2,Galerias!$A$2:$A$37,0))*INDEX(Galerias!$O$2:$O$37,MATCH(AG$2,Galerias!$A$2:$A$37,0))^($A46-1),0))</f>
        <v/>
      </c>
      <c r="AH46" s="43">
        <f>IF(AND(INDEX(Galerias!$M$2:$M$37,MATCH(AH$2,Galerias!$A$2:$A$37,0))&lt;&gt;"",$A46&gt;INDEX(Galerias!$M$2:$M$37,MATCH(AH$2,Galerias!$A$2:$A$37,0))),"",ROUND(INDEX(Galerias!$N$2:$N$37,MATCH(AH$2,Galerias!$A$2:$A$37,0))*INDEX(Galerias!$O$2:$O$37,MATCH(AH$2,Galerias!$A$2:$A$37,0))^($A46-1),0))</f>
        <v/>
      </c>
      <c r="AI46" s="43">
        <f>IF(AND(INDEX(Galerias!$M$2:$M$37,MATCH(AI$2,Galerias!$A$2:$A$37,0))&lt;&gt;"",$A46&gt;INDEX(Galerias!$M$2:$M$37,MATCH(AI$2,Galerias!$A$2:$A$37,0))),"",ROUND(INDEX(Galerias!$N$2:$N$37,MATCH(AI$2,Galerias!$A$2:$A$37,0))*INDEX(Galerias!$O$2:$O$37,MATCH(AI$2,Galerias!$A$2:$A$37,0))^($A46-1),0))</f>
        <v/>
      </c>
      <c r="AJ46" s="43">
        <f>IF(AND(INDEX(Galerias!$M$2:$M$37,MATCH(AJ$2,Galerias!$A$2:$A$37,0))&lt;&gt;"",$A46&gt;INDEX(Galerias!$M$2:$M$37,MATCH(AJ$2,Galerias!$A$2:$A$37,0))),"",ROUND(INDEX(Galerias!$N$2:$N$37,MATCH(AJ$2,Galerias!$A$2:$A$37,0))*INDEX(Galerias!$O$2:$O$37,MATCH(AJ$2,Galerias!$A$2:$A$37,0))^($A46-1),0))</f>
        <v/>
      </c>
      <c r="AK46" s="43">
        <f>IF(AND(INDEX(Galerias!$M$2:$M$37,MATCH(AK$2,Galerias!$A$2:$A$37,0))&lt;&gt;"",$A46&gt;INDEX(Galerias!$M$2:$M$37,MATCH(AK$2,Galerias!$A$2:$A$37,0))),"",ROUND(INDEX(Galerias!$N$2:$N$37,MATCH(AK$2,Galerias!$A$2:$A$37,0))*INDEX(Galerias!$O$2:$O$37,MATCH(AK$2,Galerias!$A$2:$A$37,0))^($A46-1),0))</f>
        <v/>
      </c>
    </row>
    <row r="47" ht="15" customHeight="1" s="23">
      <c r="A47" s="25" t="n">
        <v>45</v>
      </c>
      <c r="B47" s="43">
        <f>IF(AND(INDEX(Galerias!$M$2:$M$37,MATCH(B$2,Galerias!$A$2:$A$37,0))&lt;&gt;"",$A47&gt;INDEX(Galerias!$M$2:$M$37,MATCH(B$2,Galerias!$A$2:$A$37,0))),"",ROUND(INDEX(Galerias!$N$2:$N$37,MATCH(B$2,Galerias!$A$2:$A$37,0))*INDEX(Galerias!$O$2:$O$37,MATCH(B$2,Galerias!$A$2:$A$37,0))^($A47-1),0))</f>
        <v/>
      </c>
      <c r="C47" s="43">
        <f>IF(AND(INDEX(Galerias!$M$2:$M$37,MATCH(C$2,Galerias!$A$2:$A$37,0))&lt;&gt;"",$A47&gt;INDEX(Galerias!$M$2:$M$37,MATCH(C$2,Galerias!$A$2:$A$37,0))),"",ROUND(INDEX(Galerias!$N$2:$N$37,MATCH(C$2,Galerias!$A$2:$A$37,0))*INDEX(Galerias!$O$2:$O$37,MATCH(C$2,Galerias!$A$2:$A$37,0))^($A47-1),0))</f>
        <v/>
      </c>
      <c r="D47" s="43">
        <f>IF(AND(INDEX(Galerias!$M$2:$M$37,MATCH(D$2,Galerias!$A$2:$A$37,0))&lt;&gt;"",$A47&gt;INDEX(Galerias!$M$2:$M$37,MATCH(D$2,Galerias!$A$2:$A$37,0))),"",ROUND(INDEX(Galerias!$N$2:$N$37,MATCH(D$2,Galerias!$A$2:$A$37,0))*INDEX(Galerias!$O$2:$O$37,MATCH(D$2,Galerias!$A$2:$A$37,0))^($A47-1),0))</f>
        <v/>
      </c>
      <c r="E47" s="43">
        <f>IF(AND(INDEX(Galerias!$M$2:$M$37,MATCH(E$2,Galerias!$A$2:$A$37,0))&lt;&gt;"",$A47&gt;INDEX(Galerias!$M$2:$M$37,MATCH(E$2,Galerias!$A$2:$A$37,0))),"",ROUND(INDEX(Galerias!$N$2:$N$37,MATCH(E$2,Galerias!$A$2:$A$37,0))*INDEX(Galerias!$O$2:$O$37,MATCH(E$2,Galerias!$A$2:$A$37,0))^($A47-1),0))</f>
        <v/>
      </c>
      <c r="F47" s="43">
        <f>IF(AND(INDEX(Galerias!$M$2:$M$37,MATCH(F$2,Galerias!$A$2:$A$37,0))&lt;&gt;"",$A47&gt;INDEX(Galerias!$M$2:$M$37,MATCH(F$2,Galerias!$A$2:$A$37,0))),"",ROUND(INDEX(Galerias!$N$2:$N$37,MATCH(F$2,Galerias!$A$2:$A$37,0))*INDEX(Galerias!$O$2:$O$37,MATCH(F$2,Galerias!$A$2:$A$37,0))^($A47-1),0))</f>
        <v/>
      </c>
      <c r="G47" s="43">
        <f>IF(AND(INDEX(Galerias!$M$2:$M$37,MATCH(G$2,Galerias!$A$2:$A$37,0))&lt;&gt;"",$A47&gt;INDEX(Galerias!$M$2:$M$37,MATCH(G$2,Galerias!$A$2:$A$37,0))),"",ROUND(INDEX(Galerias!$N$2:$N$37,MATCH(G$2,Galerias!$A$2:$A$37,0))*INDEX(Galerias!$O$2:$O$37,MATCH(G$2,Galerias!$A$2:$A$37,0))^($A47-1),0))</f>
        <v/>
      </c>
      <c r="H47" s="43">
        <f>IF(AND(INDEX(Galerias!$M$2:$M$37,MATCH(H$2,Galerias!$A$2:$A$37,0))&lt;&gt;"",$A47&gt;INDEX(Galerias!$M$2:$M$37,MATCH(H$2,Galerias!$A$2:$A$37,0))),"",ROUND(INDEX(Galerias!$N$2:$N$37,MATCH(H$2,Galerias!$A$2:$A$37,0))*INDEX(Galerias!$O$2:$O$37,MATCH(H$2,Galerias!$A$2:$A$37,0))^($A47-1),0))</f>
        <v/>
      </c>
      <c r="I47" s="43">
        <f>IF(AND(INDEX(Galerias!$M$2:$M$37,MATCH(I$2,Galerias!$A$2:$A$37,0))&lt;&gt;"",$A47&gt;INDEX(Galerias!$M$2:$M$37,MATCH(I$2,Galerias!$A$2:$A$37,0))),"",ROUND(INDEX(Galerias!$N$2:$N$37,MATCH(I$2,Galerias!$A$2:$A$37,0))*INDEX(Galerias!$O$2:$O$37,MATCH(I$2,Galerias!$A$2:$A$37,0))^($A47-1),0))</f>
        <v/>
      </c>
      <c r="J47" s="43">
        <f>IF(AND(INDEX(Galerias!$M$2:$M$37,MATCH(J$2,Galerias!$A$2:$A$37,0))&lt;&gt;"",$A47&gt;INDEX(Galerias!$M$2:$M$37,MATCH(J$2,Galerias!$A$2:$A$37,0))),"",ROUND(INDEX(Galerias!$N$2:$N$37,MATCH(J$2,Galerias!$A$2:$A$37,0))*INDEX(Galerias!$O$2:$O$37,MATCH(J$2,Galerias!$A$2:$A$37,0))^($A47-1),0))</f>
        <v/>
      </c>
      <c r="K47" s="43">
        <f>IF(AND(INDEX(Galerias!$M$2:$M$37,MATCH(K$2,Galerias!$A$2:$A$37,0))&lt;&gt;"",$A47&gt;INDEX(Galerias!$M$2:$M$37,MATCH(K$2,Galerias!$A$2:$A$37,0))),"",ROUND(INDEX(Galerias!$N$2:$N$37,MATCH(K$2,Galerias!$A$2:$A$37,0))*INDEX(Galerias!$O$2:$O$37,MATCH(K$2,Galerias!$A$2:$A$37,0))^($A47-1),0))</f>
        <v/>
      </c>
      <c r="L47" s="43">
        <f>IF(AND(INDEX(Galerias!$M$2:$M$37,MATCH(L$2,Galerias!$A$2:$A$37,0))&lt;&gt;"",$A47&gt;INDEX(Galerias!$M$2:$M$37,MATCH(L$2,Galerias!$A$2:$A$37,0))),"",ROUND(INDEX(Galerias!$N$2:$N$37,MATCH(L$2,Galerias!$A$2:$A$37,0))*INDEX(Galerias!$O$2:$O$37,MATCH(L$2,Galerias!$A$2:$A$37,0))^($A47-1),0))</f>
        <v/>
      </c>
      <c r="M47" s="43">
        <f>IF(AND(INDEX(Galerias!$M$2:$M$37,MATCH(M$2,Galerias!$A$2:$A$37,0))&lt;&gt;"",$A47&gt;INDEX(Galerias!$M$2:$M$37,MATCH(M$2,Galerias!$A$2:$A$37,0))),"",ROUND(INDEX(Galerias!$N$2:$N$37,MATCH(M$2,Galerias!$A$2:$A$37,0))*INDEX(Galerias!$O$2:$O$37,MATCH(M$2,Galerias!$A$2:$A$37,0))^($A47-1),0))</f>
        <v/>
      </c>
      <c r="N47" s="43">
        <f>IF(AND(INDEX(Galerias!$M$2:$M$37,MATCH(N$2,Galerias!$A$2:$A$37,0))&lt;&gt;"",$A47&gt;INDEX(Galerias!$M$2:$M$37,MATCH(N$2,Galerias!$A$2:$A$37,0))),"",ROUND(INDEX(Galerias!$N$2:$N$37,MATCH(N$2,Galerias!$A$2:$A$37,0))*INDEX(Galerias!$O$2:$O$37,MATCH(N$2,Galerias!$A$2:$A$37,0))^($A47-1),0))</f>
        <v/>
      </c>
      <c r="O47" s="43">
        <f>IF(AND(INDEX(Galerias!$M$2:$M$37,MATCH(O$2,Galerias!$A$2:$A$37,0))&lt;&gt;"",$A47&gt;INDEX(Galerias!$M$2:$M$37,MATCH(O$2,Galerias!$A$2:$A$37,0))),"",ROUND(INDEX(Galerias!$N$2:$N$37,MATCH(O$2,Galerias!$A$2:$A$37,0))*INDEX(Galerias!$O$2:$O$37,MATCH(O$2,Galerias!$A$2:$A$37,0))^($A47-1),0))</f>
        <v/>
      </c>
      <c r="P47" s="43">
        <f>IF(AND(INDEX(Galerias!$M$2:$M$37,MATCH(P$2,Galerias!$A$2:$A$37,0))&lt;&gt;"",$A47&gt;INDEX(Galerias!$M$2:$M$37,MATCH(P$2,Galerias!$A$2:$A$37,0))),"",ROUND(INDEX(Galerias!$N$2:$N$37,MATCH(P$2,Galerias!$A$2:$A$37,0))*INDEX(Galerias!$O$2:$O$37,MATCH(P$2,Galerias!$A$2:$A$37,0))^($A47-1),0))</f>
        <v/>
      </c>
      <c r="Q47" s="43">
        <f>IF(AND(INDEX(Galerias!$M$2:$M$37,MATCH(Q$2,Galerias!$A$2:$A$37,0))&lt;&gt;"",$A47&gt;INDEX(Galerias!$M$2:$M$37,MATCH(Q$2,Galerias!$A$2:$A$37,0))),"",ROUND(INDEX(Galerias!$N$2:$N$37,MATCH(Q$2,Galerias!$A$2:$A$37,0))*INDEX(Galerias!$O$2:$O$37,MATCH(Q$2,Galerias!$A$2:$A$37,0))^($A47-1),0))</f>
        <v/>
      </c>
      <c r="R47" s="43">
        <f>IF(AND(INDEX(Galerias!$M$2:$M$37,MATCH(R$2,Galerias!$A$2:$A$37,0))&lt;&gt;"",$A47&gt;INDEX(Galerias!$M$2:$M$37,MATCH(R$2,Galerias!$A$2:$A$37,0))),"",ROUND(INDEX(Galerias!$N$2:$N$37,MATCH(R$2,Galerias!$A$2:$A$37,0))*INDEX(Galerias!$O$2:$O$37,MATCH(R$2,Galerias!$A$2:$A$37,0))^($A47-1),0))</f>
        <v/>
      </c>
      <c r="S47" s="43">
        <f>IF(AND(INDEX(Galerias!$M$2:$M$37,MATCH(S$2,Galerias!$A$2:$A$37,0))&lt;&gt;"",$A47&gt;INDEX(Galerias!$M$2:$M$37,MATCH(S$2,Galerias!$A$2:$A$37,0))),"",ROUND(INDEX(Galerias!$N$2:$N$37,MATCH(S$2,Galerias!$A$2:$A$37,0))*INDEX(Galerias!$O$2:$O$37,MATCH(S$2,Galerias!$A$2:$A$37,0))^($A47-1),0))</f>
        <v/>
      </c>
      <c r="T47" s="43">
        <f>IF(AND(INDEX(Galerias!$M$2:$M$37,MATCH(T$2,Galerias!$A$2:$A$37,0))&lt;&gt;"",$A47&gt;INDEX(Galerias!$M$2:$M$37,MATCH(T$2,Galerias!$A$2:$A$37,0))),"",ROUND(INDEX(Galerias!$N$2:$N$37,MATCH(T$2,Galerias!$A$2:$A$37,0))*INDEX(Galerias!$O$2:$O$37,MATCH(T$2,Galerias!$A$2:$A$37,0))^($A47-1),0))</f>
        <v/>
      </c>
      <c r="U47" s="43">
        <f>IF(AND(INDEX(Galerias!$M$2:$M$37,MATCH(U$2,Galerias!$A$2:$A$37,0))&lt;&gt;"",$A47&gt;INDEX(Galerias!$M$2:$M$37,MATCH(U$2,Galerias!$A$2:$A$37,0))),"",ROUND(INDEX(Galerias!$N$2:$N$37,MATCH(U$2,Galerias!$A$2:$A$37,0))*INDEX(Galerias!$O$2:$O$37,MATCH(U$2,Galerias!$A$2:$A$37,0))^($A47-1),0))</f>
        <v/>
      </c>
      <c r="V47" s="43">
        <f>IF(AND(INDEX(Galerias!$M$2:$M$37,MATCH(V$2,Galerias!$A$2:$A$37,0))&lt;&gt;"",$A47&gt;INDEX(Galerias!$M$2:$M$37,MATCH(V$2,Galerias!$A$2:$A$37,0))),"",ROUND(INDEX(Galerias!$N$2:$N$37,MATCH(V$2,Galerias!$A$2:$A$37,0))*INDEX(Galerias!$O$2:$O$37,MATCH(V$2,Galerias!$A$2:$A$37,0))^($A47-1),0))</f>
        <v/>
      </c>
      <c r="W47" s="43">
        <f>IF(AND(INDEX(Galerias!$M$2:$M$37,MATCH(W$2,Galerias!$A$2:$A$37,0))&lt;&gt;"",$A47&gt;INDEX(Galerias!$M$2:$M$37,MATCH(W$2,Galerias!$A$2:$A$37,0))),"",ROUND(INDEX(Galerias!$N$2:$N$37,MATCH(W$2,Galerias!$A$2:$A$37,0))*INDEX(Galerias!$O$2:$O$37,MATCH(W$2,Galerias!$A$2:$A$37,0))^($A47-1),0))</f>
        <v/>
      </c>
      <c r="X47" s="43">
        <f>IF(AND(INDEX(Galerias!$M$2:$M$37,MATCH(X$2,Galerias!$A$2:$A$37,0))&lt;&gt;"",$A47&gt;INDEX(Galerias!$M$2:$M$37,MATCH(X$2,Galerias!$A$2:$A$37,0))),"",ROUND(INDEX(Galerias!$N$2:$N$37,MATCH(X$2,Galerias!$A$2:$A$37,0))*INDEX(Galerias!$O$2:$O$37,MATCH(X$2,Galerias!$A$2:$A$37,0))^($A47-1),0))</f>
        <v/>
      </c>
      <c r="Y47" s="43">
        <f>IF(AND(INDEX(Galerias!$M$2:$M$37,MATCH(Y$2,Galerias!$A$2:$A$37,0))&lt;&gt;"",$A47&gt;INDEX(Galerias!$M$2:$M$37,MATCH(Y$2,Galerias!$A$2:$A$37,0))),"",ROUND(INDEX(Galerias!$N$2:$N$37,MATCH(Y$2,Galerias!$A$2:$A$37,0))*INDEX(Galerias!$O$2:$O$37,MATCH(Y$2,Galerias!$A$2:$A$37,0))^($A47-1),0))</f>
        <v/>
      </c>
      <c r="Z47" s="43">
        <f>IF(AND(INDEX(Galerias!$M$2:$M$37,MATCH(Z$2,Galerias!$A$2:$A$37,0))&lt;&gt;"",$A47&gt;INDEX(Galerias!$M$2:$M$37,MATCH(Z$2,Galerias!$A$2:$A$37,0))),"",ROUND(INDEX(Galerias!$N$2:$N$37,MATCH(Z$2,Galerias!$A$2:$A$37,0))*INDEX(Galerias!$O$2:$O$37,MATCH(Z$2,Galerias!$A$2:$A$37,0))^($A47-1),0))</f>
        <v/>
      </c>
      <c r="AA47" s="43">
        <f>IF(AND(INDEX(Galerias!$M$2:$M$37,MATCH(AA$2,Galerias!$A$2:$A$37,0))&lt;&gt;"",$A47&gt;INDEX(Galerias!$M$2:$M$37,MATCH(AA$2,Galerias!$A$2:$A$37,0))),"",ROUND(INDEX(Galerias!$N$2:$N$37,MATCH(AA$2,Galerias!$A$2:$A$37,0))*INDEX(Galerias!$O$2:$O$37,MATCH(AA$2,Galerias!$A$2:$A$37,0))^($A47-1),0))</f>
        <v/>
      </c>
      <c r="AB47" s="43">
        <f>IF(AND(INDEX(Galerias!$M$2:$M$37,MATCH(AB$2,Galerias!$A$2:$A$37,0))&lt;&gt;"",$A47&gt;INDEX(Galerias!$M$2:$M$37,MATCH(AB$2,Galerias!$A$2:$A$37,0))),"",ROUND(INDEX(Galerias!$N$2:$N$37,MATCH(AB$2,Galerias!$A$2:$A$37,0))*INDEX(Galerias!$O$2:$O$37,MATCH(AB$2,Galerias!$A$2:$A$37,0))^($A47-1),0))</f>
        <v/>
      </c>
      <c r="AC47" s="43">
        <f>IF(AND(INDEX(Galerias!$M$2:$M$37,MATCH(AC$2,Galerias!$A$2:$A$37,0))&lt;&gt;"",$A47&gt;INDEX(Galerias!$M$2:$M$37,MATCH(AC$2,Galerias!$A$2:$A$37,0))),"",ROUND(INDEX(Galerias!$N$2:$N$37,MATCH(AC$2,Galerias!$A$2:$A$37,0))*INDEX(Galerias!$O$2:$O$37,MATCH(AC$2,Galerias!$A$2:$A$37,0))^($A47-1),0))</f>
        <v/>
      </c>
      <c r="AD47" s="43">
        <f>IF(AND(INDEX(Galerias!$M$2:$M$37,MATCH(AD$2,Galerias!$A$2:$A$37,0))&lt;&gt;"",$A47&gt;INDEX(Galerias!$M$2:$M$37,MATCH(AD$2,Galerias!$A$2:$A$37,0))),"",ROUND(INDEX(Galerias!$N$2:$N$37,MATCH(AD$2,Galerias!$A$2:$A$37,0))*INDEX(Galerias!$O$2:$O$37,MATCH(AD$2,Galerias!$A$2:$A$37,0))^($A47-1),0))</f>
        <v/>
      </c>
      <c r="AE47" s="43">
        <f>IF(AND(INDEX(Galerias!$M$2:$M$37,MATCH(AE$2,Galerias!$A$2:$A$37,0))&lt;&gt;"",$A47&gt;INDEX(Galerias!$M$2:$M$37,MATCH(AE$2,Galerias!$A$2:$A$37,0))),"",ROUND(INDEX(Galerias!$N$2:$N$37,MATCH(AE$2,Galerias!$A$2:$A$37,0))*INDEX(Galerias!$O$2:$O$37,MATCH(AE$2,Galerias!$A$2:$A$37,0))^($A47-1),0))</f>
        <v/>
      </c>
      <c r="AF47" s="43">
        <f>IF(AND(INDEX(Galerias!$M$2:$M$37,MATCH(AF$2,Galerias!$A$2:$A$37,0))&lt;&gt;"",$A47&gt;INDEX(Galerias!$M$2:$M$37,MATCH(AF$2,Galerias!$A$2:$A$37,0))),"",ROUND(INDEX(Galerias!$N$2:$N$37,MATCH(AF$2,Galerias!$A$2:$A$37,0))*INDEX(Galerias!$O$2:$O$37,MATCH(AF$2,Galerias!$A$2:$A$37,0))^($A47-1),0))</f>
        <v/>
      </c>
      <c r="AG47" s="43">
        <f>IF(AND(INDEX(Galerias!$M$2:$M$37,MATCH(AG$2,Galerias!$A$2:$A$37,0))&lt;&gt;"",$A47&gt;INDEX(Galerias!$M$2:$M$37,MATCH(AG$2,Galerias!$A$2:$A$37,0))),"",ROUND(INDEX(Galerias!$N$2:$N$37,MATCH(AG$2,Galerias!$A$2:$A$37,0))*INDEX(Galerias!$O$2:$O$37,MATCH(AG$2,Galerias!$A$2:$A$37,0))^($A47-1),0))</f>
        <v/>
      </c>
      <c r="AH47" s="43">
        <f>IF(AND(INDEX(Galerias!$M$2:$M$37,MATCH(AH$2,Galerias!$A$2:$A$37,0))&lt;&gt;"",$A47&gt;INDEX(Galerias!$M$2:$M$37,MATCH(AH$2,Galerias!$A$2:$A$37,0))),"",ROUND(INDEX(Galerias!$N$2:$N$37,MATCH(AH$2,Galerias!$A$2:$A$37,0))*INDEX(Galerias!$O$2:$O$37,MATCH(AH$2,Galerias!$A$2:$A$37,0))^($A47-1),0))</f>
        <v/>
      </c>
      <c r="AI47" s="43">
        <f>IF(AND(INDEX(Galerias!$M$2:$M$37,MATCH(AI$2,Galerias!$A$2:$A$37,0))&lt;&gt;"",$A47&gt;INDEX(Galerias!$M$2:$M$37,MATCH(AI$2,Galerias!$A$2:$A$37,0))),"",ROUND(INDEX(Galerias!$N$2:$N$37,MATCH(AI$2,Galerias!$A$2:$A$37,0))*INDEX(Galerias!$O$2:$O$37,MATCH(AI$2,Galerias!$A$2:$A$37,0))^($A47-1),0))</f>
        <v/>
      </c>
      <c r="AJ47" s="43">
        <f>IF(AND(INDEX(Galerias!$M$2:$M$37,MATCH(AJ$2,Galerias!$A$2:$A$37,0))&lt;&gt;"",$A47&gt;INDEX(Galerias!$M$2:$M$37,MATCH(AJ$2,Galerias!$A$2:$A$37,0))),"",ROUND(INDEX(Galerias!$N$2:$N$37,MATCH(AJ$2,Galerias!$A$2:$A$37,0))*INDEX(Galerias!$O$2:$O$37,MATCH(AJ$2,Galerias!$A$2:$A$37,0))^($A47-1),0))</f>
        <v/>
      </c>
      <c r="AK47" s="43">
        <f>IF(AND(INDEX(Galerias!$M$2:$M$37,MATCH(AK$2,Galerias!$A$2:$A$37,0))&lt;&gt;"",$A47&gt;INDEX(Galerias!$M$2:$M$37,MATCH(AK$2,Galerias!$A$2:$A$37,0))),"",ROUND(INDEX(Galerias!$N$2:$N$37,MATCH(AK$2,Galerias!$A$2:$A$37,0))*INDEX(Galerias!$O$2:$O$37,MATCH(AK$2,Galerias!$A$2:$A$37,0))^($A47-1),0))</f>
        <v/>
      </c>
    </row>
    <row r="48" ht="15" customHeight="1" s="23">
      <c r="A48" s="25" t="n">
        <v>46</v>
      </c>
      <c r="B48" s="43">
        <f>IF(AND(INDEX(Galerias!$M$2:$M$37,MATCH(B$2,Galerias!$A$2:$A$37,0))&lt;&gt;"",$A48&gt;INDEX(Galerias!$M$2:$M$37,MATCH(B$2,Galerias!$A$2:$A$37,0))),"",ROUND(INDEX(Galerias!$N$2:$N$37,MATCH(B$2,Galerias!$A$2:$A$37,0))*INDEX(Galerias!$O$2:$O$37,MATCH(B$2,Galerias!$A$2:$A$37,0))^($A48-1),0))</f>
        <v/>
      </c>
      <c r="C48" s="43">
        <f>IF(AND(INDEX(Galerias!$M$2:$M$37,MATCH(C$2,Galerias!$A$2:$A$37,0))&lt;&gt;"",$A48&gt;INDEX(Galerias!$M$2:$M$37,MATCH(C$2,Galerias!$A$2:$A$37,0))),"",ROUND(INDEX(Galerias!$N$2:$N$37,MATCH(C$2,Galerias!$A$2:$A$37,0))*INDEX(Galerias!$O$2:$O$37,MATCH(C$2,Galerias!$A$2:$A$37,0))^($A48-1),0))</f>
        <v/>
      </c>
      <c r="D48" s="43">
        <f>IF(AND(INDEX(Galerias!$M$2:$M$37,MATCH(D$2,Galerias!$A$2:$A$37,0))&lt;&gt;"",$A48&gt;INDEX(Galerias!$M$2:$M$37,MATCH(D$2,Galerias!$A$2:$A$37,0))),"",ROUND(INDEX(Galerias!$N$2:$N$37,MATCH(D$2,Galerias!$A$2:$A$37,0))*INDEX(Galerias!$O$2:$O$37,MATCH(D$2,Galerias!$A$2:$A$37,0))^($A48-1),0))</f>
        <v/>
      </c>
      <c r="E48" s="43">
        <f>IF(AND(INDEX(Galerias!$M$2:$M$37,MATCH(E$2,Galerias!$A$2:$A$37,0))&lt;&gt;"",$A48&gt;INDEX(Galerias!$M$2:$M$37,MATCH(E$2,Galerias!$A$2:$A$37,0))),"",ROUND(INDEX(Galerias!$N$2:$N$37,MATCH(E$2,Galerias!$A$2:$A$37,0))*INDEX(Galerias!$O$2:$O$37,MATCH(E$2,Galerias!$A$2:$A$37,0))^($A48-1),0))</f>
        <v/>
      </c>
      <c r="F48" s="43">
        <f>IF(AND(INDEX(Galerias!$M$2:$M$37,MATCH(F$2,Galerias!$A$2:$A$37,0))&lt;&gt;"",$A48&gt;INDEX(Galerias!$M$2:$M$37,MATCH(F$2,Galerias!$A$2:$A$37,0))),"",ROUND(INDEX(Galerias!$N$2:$N$37,MATCH(F$2,Galerias!$A$2:$A$37,0))*INDEX(Galerias!$O$2:$O$37,MATCH(F$2,Galerias!$A$2:$A$37,0))^($A48-1),0))</f>
        <v/>
      </c>
      <c r="G48" s="43">
        <f>IF(AND(INDEX(Galerias!$M$2:$M$37,MATCH(G$2,Galerias!$A$2:$A$37,0))&lt;&gt;"",$A48&gt;INDEX(Galerias!$M$2:$M$37,MATCH(G$2,Galerias!$A$2:$A$37,0))),"",ROUND(INDEX(Galerias!$N$2:$N$37,MATCH(G$2,Galerias!$A$2:$A$37,0))*INDEX(Galerias!$O$2:$O$37,MATCH(G$2,Galerias!$A$2:$A$37,0))^($A48-1),0))</f>
        <v/>
      </c>
      <c r="H48" s="43">
        <f>IF(AND(INDEX(Galerias!$M$2:$M$37,MATCH(H$2,Galerias!$A$2:$A$37,0))&lt;&gt;"",$A48&gt;INDEX(Galerias!$M$2:$M$37,MATCH(H$2,Galerias!$A$2:$A$37,0))),"",ROUND(INDEX(Galerias!$N$2:$N$37,MATCH(H$2,Galerias!$A$2:$A$37,0))*INDEX(Galerias!$O$2:$O$37,MATCH(H$2,Galerias!$A$2:$A$37,0))^($A48-1),0))</f>
        <v/>
      </c>
      <c r="I48" s="43">
        <f>IF(AND(INDEX(Galerias!$M$2:$M$37,MATCH(I$2,Galerias!$A$2:$A$37,0))&lt;&gt;"",$A48&gt;INDEX(Galerias!$M$2:$M$37,MATCH(I$2,Galerias!$A$2:$A$37,0))),"",ROUND(INDEX(Galerias!$N$2:$N$37,MATCH(I$2,Galerias!$A$2:$A$37,0))*INDEX(Galerias!$O$2:$O$37,MATCH(I$2,Galerias!$A$2:$A$37,0))^($A48-1),0))</f>
        <v/>
      </c>
      <c r="J48" s="43">
        <f>IF(AND(INDEX(Galerias!$M$2:$M$37,MATCH(J$2,Galerias!$A$2:$A$37,0))&lt;&gt;"",$A48&gt;INDEX(Galerias!$M$2:$M$37,MATCH(J$2,Galerias!$A$2:$A$37,0))),"",ROUND(INDEX(Galerias!$N$2:$N$37,MATCH(J$2,Galerias!$A$2:$A$37,0))*INDEX(Galerias!$O$2:$O$37,MATCH(J$2,Galerias!$A$2:$A$37,0))^($A48-1),0))</f>
        <v/>
      </c>
      <c r="K48" s="43">
        <f>IF(AND(INDEX(Galerias!$M$2:$M$37,MATCH(K$2,Galerias!$A$2:$A$37,0))&lt;&gt;"",$A48&gt;INDEX(Galerias!$M$2:$M$37,MATCH(K$2,Galerias!$A$2:$A$37,0))),"",ROUND(INDEX(Galerias!$N$2:$N$37,MATCH(K$2,Galerias!$A$2:$A$37,0))*INDEX(Galerias!$O$2:$O$37,MATCH(K$2,Galerias!$A$2:$A$37,0))^($A48-1),0))</f>
        <v/>
      </c>
      <c r="L48" s="43">
        <f>IF(AND(INDEX(Galerias!$M$2:$M$37,MATCH(L$2,Galerias!$A$2:$A$37,0))&lt;&gt;"",$A48&gt;INDEX(Galerias!$M$2:$M$37,MATCH(L$2,Galerias!$A$2:$A$37,0))),"",ROUND(INDEX(Galerias!$N$2:$N$37,MATCH(L$2,Galerias!$A$2:$A$37,0))*INDEX(Galerias!$O$2:$O$37,MATCH(L$2,Galerias!$A$2:$A$37,0))^($A48-1),0))</f>
        <v/>
      </c>
      <c r="M48" s="43">
        <f>IF(AND(INDEX(Galerias!$M$2:$M$37,MATCH(M$2,Galerias!$A$2:$A$37,0))&lt;&gt;"",$A48&gt;INDEX(Galerias!$M$2:$M$37,MATCH(M$2,Galerias!$A$2:$A$37,0))),"",ROUND(INDEX(Galerias!$N$2:$N$37,MATCH(M$2,Galerias!$A$2:$A$37,0))*INDEX(Galerias!$O$2:$O$37,MATCH(M$2,Galerias!$A$2:$A$37,0))^($A48-1),0))</f>
        <v/>
      </c>
      <c r="N48" s="43">
        <f>IF(AND(INDEX(Galerias!$M$2:$M$37,MATCH(N$2,Galerias!$A$2:$A$37,0))&lt;&gt;"",$A48&gt;INDEX(Galerias!$M$2:$M$37,MATCH(N$2,Galerias!$A$2:$A$37,0))),"",ROUND(INDEX(Galerias!$N$2:$N$37,MATCH(N$2,Galerias!$A$2:$A$37,0))*INDEX(Galerias!$O$2:$O$37,MATCH(N$2,Galerias!$A$2:$A$37,0))^($A48-1),0))</f>
        <v/>
      </c>
      <c r="O48" s="43">
        <f>IF(AND(INDEX(Galerias!$M$2:$M$37,MATCH(O$2,Galerias!$A$2:$A$37,0))&lt;&gt;"",$A48&gt;INDEX(Galerias!$M$2:$M$37,MATCH(O$2,Galerias!$A$2:$A$37,0))),"",ROUND(INDEX(Galerias!$N$2:$N$37,MATCH(O$2,Galerias!$A$2:$A$37,0))*INDEX(Galerias!$O$2:$O$37,MATCH(O$2,Galerias!$A$2:$A$37,0))^($A48-1),0))</f>
        <v/>
      </c>
      <c r="P48" s="43">
        <f>IF(AND(INDEX(Galerias!$M$2:$M$37,MATCH(P$2,Galerias!$A$2:$A$37,0))&lt;&gt;"",$A48&gt;INDEX(Galerias!$M$2:$M$37,MATCH(P$2,Galerias!$A$2:$A$37,0))),"",ROUND(INDEX(Galerias!$N$2:$N$37,MATCH(P$2,Galerias!$A$2:$A$37,0))*INDEX(Galerias!$O$2:$O$37,MATCH(P$2,Galerias!$A$2:$A$37,0))^($A48-1),0))</f>
        <v/>
      </c>
      <c r="Q48" s="43">
        <f>IF(AND(INDEX(Galerias!$M$2:$M$37,MATCH(Q$2,Galerias!$A$2:$A$37,0))&lt;&gt;"",$A48&gt;INDEX(Galerias!$M$2:$M$37,MATCH(Q$2,Galerias!$A$2:$A$37,0))),"",ROUND(INDEX(Galerias!$N$2:$N$37,MATCH(Q$2,Galerias!$A$2:$A$37,0))*INDEX(Galerias!$O$2:$O$37,MATCH(Q$2,Galerias!$A$2:$A$37,0))^($A48-1),0))</f>
        <v/>
      </c>
      <c r="R48" s="43">
        <f>IF(AND(INDEX(Galerias!$M$2:$M$37,MATCH(R$2,Galerias!$A$2:$A$37,0))&lt;&gt;"",$A48&gt;INDEX(Galerias!$M$2:$M$37,MATCH(R$2,Galerias!$A$2:$A$37,0))),"",ROUND(INDEX(Galerias!$N$2:$N$37,MATCH(R$2,Galerias!$A$2:$A$37,0))*INDEX(Galerias!$O$2:$O$37,MATCH(R$2,Galerias!$A$2:$A$37,0))^($A48-1),0))</f>
        <v/>
      </c>
      <c r="S48" s="43">
        <f>IF(AND(INDEX(Galerias!$M$2:$M$37,MATCH(S$2,Galerias!$A$2:$A$37,0))&lt;&gt;"",$A48&gt;INDEX(Galerias!$M$2:$M$37,MATCH(S$2,Galerias!$A$2:$A$37,0))),"",ROUND(INDEX(Galerias!$N$2:$N$37,MATCH(S$2,Galerias!$A$2:$A$37,0))*INDEX(Galerias!$O$2:$O$37,MATCH(S$2,Galerias!$A$2:$A$37,0))^($A48-1),0))</f>
        <v/>
      </c>
      <c r="T48" s="43">
        <f>IF(AND(INDEX(Galerias!$M$2:$M$37,MATCH(T$2,Galerias!$A$2:$A$37,0))&lt;&gt;"",$A48&gt;INDEX(Galerias!$M$2:$M$37,MATCH(T$2,Galerias!$A$2:$A$37,0))),"",ROUND(INDEX(Galerias!$N$2:$N$37,MATCH(T$2,Galerias!$A$2:$A$37,0))*INDEX(Galerias!$O$2:$O$37,MATCH(T$2,Galerias!$A$2:$A$37,0))^($A48-1),0))</f>
        <v/>
      </c>
      <c r="U48" s="43">
        <f>IF(AND(INDEX(Galerias!$M$2:$M$37,MATCH(U$2,Galerias!$A$2:$A$37,0))&lt;&gt;"",$A48&gt;INDEX(Galerias!$M$2:$M$37,MATCH(U$2,Galerias!$A$2:$A$37,0))),"",ROUND(INDEX(Galerias!$N$2:$N$37,MATCH(U$2,Galerias!$A$2:$A$37,0))*INDEX(Galerias!$O$2:$O$37,MATCH(U$2,Galerias!$A$2:$A$37,0))^($A48-1),0))</f>
        <v/>
      </c>
      <c r="V48" s="43">
        <f>IF(AND(INDEX(Galerias!$M$2:$M$37,MATCH(V$2,Galerias!$A$2:$A$37,0))&lt;&gt;"",$A48&gt;INDEX(Galerias!$M$2:$M$37,MATCH(V$2,Galerias!$A$2:$A$37,0))),"",ROUND(INDEX(Galerias!$N$2:$N$37,MATCH(V$2,Galerias!$A$2:$A$37,0))*INDEX(Galerias!$O$2:$O$37,MATCH(V$2,Galerias!$A$2:$A$37,0))^($A48-1),0))</f>
        <v/>
      </c>
      <c r="W48" s="43">
        <f>IF(AND(INDEX(Galerias!$M$2:$M$37,MATCH(W$2,Galerias!$A$2:$A$37,0))&lt;&gt;"",$A48&gt;INDEX(Galerias!$M$2:$M$37,MATCH(W$2,Galerias!$A$2:$A$37,0))),"",ROUND(INDEX(Galerias!$N$2:$N$37,MATCH(W$2,Galerias!$A$2:$A$37,0))*INDEX(Galerias!$O$2:$O$37,MATCH(W$2,Galerias!$A$2:$A$37,0))^($A48-1),0))</f>
        <v/>
      </c>
      <c r="X48" s="43">
        <f>IF(AND(INDEX(Galerias!$M$2:$M$37,MATCH(X$2,Galerias!$A$2:$A$37,0))&lt;&gt;"",$A48&gt;INDEX(Galerias!$M$2:$M$37,MATCH(X$2,Galerias!$A$2:$A$37,0))),"",ROUND(INDEX(Galerias!$N$2:$N$37,MATCH(X$2,Galerias!$A$2:$A$37,0))*INDEX(Galerias!$O$2:$O$37,MATCH(X$2,Galerias!$A$2:$A$37,0))^($A48-1),0))</f>
        <v/>
      </c>
      <c r="Y48" s="43">
        <f>IF(AND(INDEX(Galerias!$M$2:$M$37,MATCH(Y$2,Galerias!$A$2:$A$37,0))&lt;&gt;"",$A48&gt;INDEX(Galerias!$M$2:$M$37,MATCH(Y$2,Galerias!$A$2:$A$37,0))),"",ROUND(INDEX(Galerias!$N$2:$N$37,MATCH(Y$2,Galerias!$A$2:$A$37,0))*INDEX(Galerias!$O$2:$O$37,MATCH(Y$2,Galerias!$A$2:$A$37,0))^($A48-1),0))</f>
        <v/>
      </c>
      <c r="Z48" s="43">
        <f>IF(AND(INDEX(Galerias!$M$2:$M$37,MATCH(Z$2,Galerias!$A$2:$A$37,0))&lt;&gt;"",$A48&gt;INDEX(Galerias!$M$2:$M$37,MATCH(Z$2,Galerias!$A$2:$A$37,0))),"",ROUND(INDEX(Galerias!$N$2:$N$37,MATCH(Z$2,Galerias!$A$2:$A$37,0))*INDEX(Galerias!$O$2:$O$37,MATCH(Z$2,Galerias!$A$2:$A$37,0))^($A48-1),0))</f>
        <v/>
      </c>
      <c r="AA48" s="43">
        <f>IF(AND(INDEX(Galerias!$M$2:$M$37,MATCH(AA$2,Galerias!$A$2:$A$37,0))&lt;&gt;"",$A48&gt;INDEX(Galerias!$M$2:$M$37,MATCH(AA$2,Galerias!$A$2:$A$37,0))),"",ROUND(INDEX(Galerias!$N$2:$N$37,MATCH(AA$2,Galerias!$A$2:$A$37,0))*INDEX(Galerias!$O$2:$O$37,MATCH(AA$2,Galerias!$A$2:$A$37,0))^($A48-1),0))</f>
        <v/>
      </c>
      <c r="AB48" s="43">
        <f>IF(AND(INDEX(Galerias!$M$2:$M$37,MATCH(AB$2,Galerias!$A$2:$A$37,0))&lt;&gt;"",$A48&gt;INDEX(Galerias!$M$2:$M$37,MATCH(AB$2,Galerias!$A$2:$A$37,0))),"",ROUND(INDEX(Galerias!$N$2:$N$37,MATCH(AB$2,Galerias!$A$2:$A$37,0))*INDEX(Galerias!$O$2:$O$37,MATCH(AB$2,Galerias!$A$2:$A$37,0))^($A48-1),0))</f>
        <v/>
      </c>
      <c r="AC48" s="43">
        <f>IF(AND(INDEX(Galerias!$M$2:$M$37,MATCH(AC$2,Galerias!$A$2:$A$37,0))&lt;&gt;"",$A48&gt;INDEX(Galerias!$M$2:$M$37,MATCH(AC$2,Galerias!$A$2:$A$37,0))),"",ROUND(INDEX(Galerias!$N$2:$N$37,MATCH(AC$2,Galerias!$A$2:$A$37,0))*INDEX(Galerias!$O$2:$O$37,MATCH(AC$2,Galerias!$A$2:$A$37,0))^($A48-1),0))</f>
        <v/>
      </c>
      <c r="AD48" s="43">
        <f>IF(AND(INDEX(Galerias!$M$2:$M$37,MATCH(AD$2,Galerias!$A$2:$A$37,0))&lt;&gt;"",$A48&gt;INDEX(Galerias!$M$2:$M$37,MATCH(AD$2,Galerias!$A$2:$A$37,0))),"",ROUND(INDEX(Galerias!$N$2:$N$37,MATCH(AD$2,Galerias!$A$2:$A$37,0))*INDEX(Galerias!$O$2:$O$37,MATCH(AD$2,Galerias!$A$2:$A$37,0))^($A48-1),0))</f>
        <v/>
      </c>
      <c r="AE48" s="43">
        <f>IF(AND(INDEX(Galerias!$M$2:$M$37,MATCH(AE$2,Galerias!$A$2:$A$37,0))&lt;&gt;"",$A48&gt;INDEX(Galerias!$M$2:$M$37,MATCH(AE$2,Galerias!$A$2:$A$37,0))),"",ROUND(INDEX(Galerias!$N$2:$N$37,MATCH(AE$2,Galerias!$A$2:$A$37,0))*INDEX(Galerias!$O$2:$O$37,MATCH(AE$2,Galerias!$A$2:$A$37,0))^($A48-1),0))</f>
        <v/>
      </c>
      <c r="AF48" s="43">
        <f>IF(AND(INDEX(Galerias!$M$2:$M$37,MATCH(AF$2,Galerias!$A$2:$A$37,0))&lt;&gt;"",$A48&gt;INDEX(Galerias!$M$2:$M$37,MATCH(AF$2,Galerias!$A$2:$A$37,0))),"",ROUND(INDEX(Galerias!$N$2:$N$37,MATCH(AF$2,Galerias!$A$2:$A$37,0))*INDEX(Galerias!$O$2:$O$37,MATCH(AF$2,Galerias!$A$2:$A$37,0))^($A48-1),0))</f>
        <v/>
      </c>
      <c r="AG48" s="43">
        <f>IF(AND(INDEX(Galerias!$M$2:$M$37,MATCH(AG$2,Galerias!$A$2:$A$37,0))&lt;&gt;"",$A48&gt;INDEX(Galerias!$M$2:$M$37,MATCH(AG$2,Galerias!$A$2:$A$37,0))),"",ROUND(INDEX(Galerias!$N$2:$N$37,MATCH(AG$2,Galerias!$A$2:$A$37,0))*INDEX(Galerias!$O$2:$O$37,MATCH(AG$2,Galerias!$A$2:$A$37,0))^($A48-1),0))</f>
        <v/>
      </c>
      <c r="AH48" s="43">
        <f>IF(AND(INDEX(Galerias!$M$2:$M$37,MATCH(AH$2,Galerias!$A$2:$A$37,0))&lt;&gt;"",$A48&gt;INDEX(Galerias!$M$2:$M$37,MATCH(AH$2,Galerias!$A$2:$A$37,0))),"",ROUND(INDEX(Galerias!$N$2:$N$37,MATCH(AH$2,Galerias!$A$2:$A$37,0))*INDEX(Galerias!$O$2:$O$37,MATCH(AH$2,Galerias!$A$2:$A$37,0))^($A48-1),0))</f>
        <v/>
      </c>
      <c r="AI48" s="43">
        <f>IF(AND(INDEX(Galerias!$M$2:$M$37,MATCH(AI$2,Galerias!$A$2:$A$37,0))&lt;&gt;"",$A48&gt;INDEX(Galerias!$M$2:$M$37,MATCH(AI$2,Galerias!$A$2:$A$37,0))),"",ROUND(INDEX(Galerias!$N$2:$N$37,MATCH(AI$2,Galerias!$A$2:$A$37,0))*INDEX(Galerias!$O$2:$O$37,MATCH(AI$2,Galerias!$A$2:$A$37,0))^($A48-1),0))</f>
        <v/>
      </c>
      <c r="AJ48" s="43">
        <f>IF(AND(INDEX(Galerias!$M$2:$M$37,MATCH(AJ$2,Galerias!$A$2:$A$37,0))&lt;&gt;"",$A48&gt;INDEX(Galerias!$M$2:$M$37,MATCH(AJ$2,Galerias!$A$2:$A$37,0))),"",ROUND(INDEX(Galerias!$N$2:$N$37,MATCH(AJ$2,Galerias!$A$2:$A$37,0))*INDEX(Galerias!$O$2:$O$37,MATCH(AJ$2,Galerias!$A$2:$A$37,0))^($A48-1),0))</f>
        <v/>
      </c>
      <c r="AK48" s="43">
        <f>IF(AND(INDEX(Galerias!$M$2:$M$37,MATCH(AK$2,Galerias!$A$2:$A$37,0))&lt;&gt;"",$A48&gt;INDEX(Galerias!$M$2:$M$37,MATCH(AK$2,Galerias!$A$2:$A$37,0))),"",ROUND(INDEX(Galerias!$N$2:$N$37,MATCH(AK$2,Galerias!$A$2:$A$37,0))*INDEX(Galerias!$O$2:$O$37,MATCH(AK$2,Galerias!$A$2:$A$37,0))^($A48-1),0))</f>
        <v/>
      </c>
    </row>
    <row r="49" ht="15" customHeight="1" s="23">
      <c r="A49" s="25" t="n">
        <v>47</v>
      </c>
      <c r="B49" s="43">
        <f>IF(AND(INDEX(Galerias!$M$2:$M$37,MATCH(B$2,Galerias!$A$2:$A$37,0))&lt;&gt;"",$A49&gt;INDEX(Galerias!$M$2:$M$37,MATCH(B$2,Galerias!$A$2:$A$37,0))),"",ROUND(INDEX(Galerias!$N$2:$N$37,MATCH(B$2,Galerias!$A$2:$A$37,0))*INDEX(Galerias!$O$2:$O$37,MATCH(B$2,Galerias!$A$2:$A$37,0))^($A49-1),0))</f>
        <v/>
      </c>
      <c r="C49" s="43">
        <f>IF(AND(INDEX(Galerias!$M$2:$M$37,MATCH(C$2,Galerias!$A$2:$A$37,0))&lt;&gt;"",$A49&gt;INDEX(Galerias!$M$2:$M$37,MATCH(C$2,Galerias!$A$2:$A$37,0))),"",ROUND(INDEX(Galerias!$N$2:$N$37,MATCH(C$2,Galerias!$A$2:$A$37,0))*INDEX(Galerias!$O$2:$O$37,MATCH(C$2,Galerias!$A$2:$A$37,0))^($A49-1),0))</f>
        <v/>
      </c>
      <c r="D49" s="43">
        <f>IF(AND(INDEX(Galerias!$M$2:$M$37,MATCH(D$2,Galerias!$A$2:$A$37,0))&lt;&gt;"",$A49&gt;INDEX(Galerias!$M$2:$M$37,MATCH(D$2,Galerias!$A$2:$A$37,0))),"",ROUND(INDEX(Galerias!$N$2:$N$37,MATCH(D$2,Galerias!$A$2:$A$37,0))*INDEX(Galerias!$O$2:$O$37,MATCH(D$2,Galerias!$A$2:$A$37,0))^($A49-1),0))</f>
        <v/>
      </c>
      <c r="E49" s="43">
        <f>IF(AND(INDEX(Galerias!$M$2:$M$37,MATCH(E$2,Galerias!$A$2:$A$37,0))&lt;&gt;"",$A49&gt;INDEX(Galerias!$M$2:$M$37,MATCH(E$2,Galerias!$A$2:$A$37,0))),"",ROUND(INDEX(Galerias!$N$2:$N$37,MATCH(E$2,Galerias!$A$2:$A$37,0))*INDEX(Galerias!$O$2:$O$37,MATCH(E$2,Galerias!$A$2:$A$37,0))^($A49-1),0))</f>
        <v/>
      </c>
      <c r="F49" s="43">
        <f>IF(AND(INDEX(Galerias!$M$2:$M$37,MATCH(F$2,Galerias!$A$2:$A$37,0))&lt;&gt;"",$A49&gt;INDEX(Galerias!$M$2:$M$37,MATCH(F$2,Galerias!$A$2:$A$37,0))),"",ROUND(INDEX(Galerias!$N$2:$N$37,MATCH(F$2,Galerias!$A$2:$A$37,0))*INDEX(Galerias!$O$2:$O$37,MATCH(F$2,Galerias!$A$2:$A$37,0))^($A49-1),0))</f>
        <v/>
      </c>
      <c r="G49" s="43">
        <f>IF(AND(INDEX(Galerias!$M$2:$M$37,MATCH(G$2,Galerias!$A$2:$A$37,0))&lt;&gt;"",$A49&gt;INDEX(Galerias!$M$2:$M$37,MATCH(G$2,Galerias!$A$2:$A$37,0))),"",ROUND(INDEX(Galerias!$N$2:$N$37,MATCH(G$2,Galerias!$A$2:$A$37,0))*INDEX(Galerias!$O$2:$O$37,MATCH(G$2,Galerias!$A$2:$A$37,0))^($A49-1),0))</f>
        <v/>
      </c>
      <c r="H49" s="43">
        <f>IF(AND(INDEX(Galerias!$M$2:$M$37,MATCH(H$2,Galerias!$A$2:$A$37,0))&lt;&gt;"",$A49&gt;INDEX(Galerias!$M$2:$M$37,MATCH(H$2,Galerias!$A$2:$A$37,0))),"",ROUND(INDEX(Galerias!$N$2:$N$37,MATCH(H$2,Galerias!$A$2:$A$37,0))*INDEX(Galerias!$O$2:$O$37,MATCH(H$2,Galerias!$A$2:$A$37,0))^($A49-1),0))</f>
        <v/>
      </c>
      <c r="I49" s="43">
        <f>IF(AND(INDEX(Galerias!$M$2:$M$37,MATCH(I$2,Galerias!$A$2:$A$37,0))&lt;&gt;"",$A49&gt;INDEX(Galerias!$M$2:$M$37,MATCH(I$2,Galerias!$A$2:$A$37,0))),"",ROUND(INDEX(Galerias!$N$2:$N$37,MATCH(I$2,Galerias!$A$2:$A$37,0))*INDEX(Galerias!$O$2:$O$37,MATCH(I$2,Galerias!$A$2:$A$37,0))^($A49-1),0))</f>
        <v/>
      </c>
      <c r="J49" s="43">
        <f>IF(AND(INDEX(Galerias!$M$2:$M$37,MATCH(J$2,Galerias!$A$2:$A$37,0))&lt;&gt;"",$A49&gt;INDEX(Galerias!$M$2:$M$37,MATCH(J$2,Galerias!$A$2:$A$37,0))),"",ROUND(INDEX(Galerias!$N$2:$N$37,MATCH(J$2,Galerias!$A$2:$A$37,0))*INDEX(Galerias!$O$2:$O$37,MATCH(J$2,Galerias!$A$2:$A$37,0))^($A49-1),0))</f>
        <v/>
      </c>
      <c r="K49" s="43">
        <f>IF(AND(INDEX(Galerias!$M$2:$M$37,MATCH(K$2,Galerias!$A$2:$A$37,0))&lt;&gt;"",$A49&gt;INDEX(Galerias!$M$2:$M$37,MATCH(K$2,Galerias!$A$2:$A$37,0))),"",ROUND(INDEX(Galerias!$N$2:$N$37,MATCH(K$2,Galerias!$A$2:$A$37,0))*INDEX(Galerias!$O$2:$O$37,MATCH(K$2,Galerias!$A$2:$A$37,0))^($A49-1),0))</f>
        <v/>
      </c>
      <c r="L49" s="43">
        <f>IF(AND(INDEX(Galerias!$M$2:$M$37,MATCH(L$2,Galerias!$A$2:$A$37,0))&lt;&gt;"",$A49&gt;INDEX(Galerias!$M$2:$M$37,MATCH(L$2,Galerias!$A$2:$A$37,0))),"",ROUND(INDEX(Galerias!$N$2:$N$37,MATCH(L$2,Galerias!$A$2:$A$37,0))*INDEX(Galerias!$O$2:$O$37,MATCH(L$2,Galerias!$A$2:$A$37,0))^($A49-1),0))</f>
        <v/>
      </c>
      <c r="M49" s="43">
        <f>IF(AND(INDEX(Galerias!$M$2:$M$37,MATCH(M$2,Galerias!$A$2:$A$37,0))&lt;&gt;"",$A49&gt;INDEX(Galerias!$M$2:$M$37,MATCH(M$2,Galerias!$A$2:$A$37,0))),"",ROUND(INDEX(Galerias!$N$2:$N$37,MATCH(M$2,Galerias!$A$2:$A$37,0))*INDEX(Galerias!$O$2:$O$37,MATCH(M$2,Galerias!$A$2:$A$37,0))^($A49-1),0))</f>
        <v/>
      </c>
      <c r="N49" s="43">
        <f>IF(AND(INDEX(Galerias!$M$2:$M$37,MATCH(N$2,Galerias!$A$2:$A$37,0))&lt;&gt;"",$A49&gt;INDEX(Galerias!$M$2:$M$37,MATCH(N$2,Galerias!$A$2:$A$37,0))),"",ROUND(INDEX(Galerias!$N$2:$N$37,MATCH(N$2,Galerias!$A$2:$A$37,0))*INDEX(Galerias!$O$2:$O$37,MATCH(N$2,Galerias!$A$2:$A$37,0))^($A49-1),0))</f>
        <v/>
      </c>
      <c r="O49" s="43">
        <f>IF(AND(INDEX(Galerias!$M$2:$M$37,MATCH(O$2,Galerias!$A$2:$A$37,0))&lt;&gt;"",$A49&gt;INDEX(Galerias!$M$2:$M$37,MATCH(O$2,Galerias!$A$2:$A$37,0))),"",ROUND(INDEX(Galerias!$N$2:$N$37,MATCH(O$2,Galerias!$A$2:$A$37,0))*INDEX(Galerias!$O$2:$O$37,MATCH(O$2,Galerias!$A$2:$A$37,0))^($A49-1),0))</f>
        <v/>
      </c>
      <c r="P49" s="43">
        <f>IF(AND(INDEX(Galerias!$M$2:$M$37,MATCH(P$2,Galerias!$A$2:$A$37,0))&lt;&gt;"",$A49&gt;INDEX(Galerias!$M$2:$M$37,MATCH(P$2,Galerias!$A$2:$A$37,0))),"",ROUND(INDEX(Galerias!$N$2:$N$37,MATCH(P$2,Galerias!$A$2:$A$37,0))*INDEX(Galerias!$O$2:$O$37,MATCH(P$2,Galerias!$A$2:$A$37,0))^($A49-1),0))</f>
        <v/>
      </c>
      <c r="Q49" s="43">
        <f>IF(AND(INDEX(Galerias!$M$2:$M$37,MATCH(Q$2,Galerias!$A$2:$A$37,0))&lt;&gt;"",$A49&gt;INDEX(Galerias!$M$2:$M$37,MATCH(Q$2,Galerias!$A$2:$A$37,0))),"",ROUND(INDEX(Galerias!$N$2:$N$37,MATCH(Q$2,Galerias!$A$2:$A$37,0))*INDEX(Galerias!$O$2:$O$37,MATCH(Q$2,Galerias!$A$2:$A$37,0))^($A49-1),0))</f>
        <v/>
      </c>
      <c r="R49" s="43">
        <f>IF(AND(INDEX(Galerias!$M$2:$M$37,MATCH(R$2,Galerias!$A$2:$A$37,0))&lt;&gt;"",$A49&gt;INDEX(Galerias!$M$2:$M$37,MATCH(R$2,Galerias!$A$2:$A$37,0))),"",ROUND(INDEX(Galerias!$N$2:$N$37,MATCH(R$2,Galerias!$A$2:$A$37,0))*INDEX(Galerias!$O$2:$O$37,MATCH(R$2,Galerias!$A$2:$A$37,0))^($A49-1),0))</f>
        <v/>
      </c>
      <c r="S49" s="43">
        <f>IF(AND(INDEX(Galerias!$M$2:$M$37,MATCH(S$2,Galerias!$A$2:$A$37,0))&lt;&gt;"",$A49&gt;INDEX(Galerias!$M$2:$M$37,MATCH(S$2,Galerias!$A$2:$A$37,0))),"",ROUND(INDEX(Galerias!$N$2:$N$37,MATCH(S$2,Galerias!$A$2:$A$37,0))*INDEX(Galerias!$O$2:$O$37,MATCH(S$2,Galerias!$A$2:$A$37,0))^($A49-1),0))</f>
        <v/>
      </c>
      <c r="T49" s="43">
        <f>IF(AND(INDEX(Galerias!$M$2:$M$37,MATCH(T$2,Galerias!$A$2:$A$37,0))&lt;&gt;"",$A49&gt;INDEX(Galerias!$M$2:$M$37,MATCH(T$2,Galerias!$A$2:$A$37,0))),"",ROUND(INDEX(Galerias!$N$2:$N$37,MATCH(T$2,Galerias!$A$2:$A$37,0))*INDEX(Galerias!$O$2:$O$37,MATCH(T$2,Galerias!$A$2:$A$37,0))^($A49-1),0))</f>
        <v/>
      </c>
      <c r="U49" s="43">
        <f>IF(AND(INDEX(Galerias!$M$2:$M$37,MATCH(U$2,Galerias!$A$2:$A$37,0))&lt;&gt;"",$A49&gt;INDEX(Galerias!$M$2:$M$37,MATCH(U$2,Galerias!$A$2:$A$37,0))),"",ROUND(INDEX(Galerias!$N$2:$N$37,MATCH(U$2,Galerias!$A$2:$A$37,0))*INDEX(Galerias!$O$2:$O$37,MATCH(U$2,Galerias!$A$2:$A$37,0))^($A49-1),0))</f>
        <v/>
      </c>
      <c r="V49" s="43">
        <f>IF(AND(INDEX(Galerias!$M$2:$M$37,MATCH(V$2,Galerias!$A$2:$A$37,0))&lt;&gt;"",$A49&gt;INDEX(Galerias!$M$2:$M$37,MATCH(V$2,Galerias!$A$2:$A$37,0))),"",ROUND(INDEX(Galerias!$N$2:$N$37,MATCH(V$2,Galerias!$A$2:$A$37,0))*INDEX(Galerias!$O$2:$O$37,MATCH(V$2,Galerias!$A$2:$A$37,0))^($A49-1),0))</f>
        <v/>
      </c>
      <c r="W49" s="43">
        <f>IF(AND(INDEX(Galerias!$M$2:$M$37,MATCH(W$2,Galerias!$A$2:$A$37,0))&lt;&gt;"",$A49&gt;INDEX(Galerias!$M$2:$M$37,MATCH(W$2,Galerias!$A$2:$A$37,0))),"",ROUND(INDEX(Galerias!$N$2:$N$37,MATCH(W$2,Galerias!$A$2:$A$37,0))*INDEX(Galerias!$O$2:$O$37,MATCH(W$2,Galerias!$A$2:$A$37,0))^($A49-1),0))</f>
        <v/>
      </c>
      <c r="X49" s="43">
        <f>IF(AND(INDEX(Galerias!$M$2:$M$37,MATCH(X$2,Galerias!$A$2:$A$37,0))&lt;&gt;"",$A49&gt;INDEX(Galerias!$M$2:$M$37,MATCH(X$2,Galerias!$A$2:$A$37,0))),"",ROUND(INDEX(Galerias!$N$2:$N$37,MATCH(X$2,Galerias!$A$2:$A$37,0))*INDEX(Galerias!$O$2:$O$37,MATCH(X$2,Galerias!$A$2:$A$37,0))^($A49-1),0))</f>
        <v/>
      </c>
      <c r="Y49" s="43">
        <f>IF(AND(INDEX(Galerias!$M$2:$M$37,MATCH(Y$2,Galerias!$A$2:$A$37,0))&lt;&gt;"",$A49&gt;INDEX(Galerias!$M$2:$M$37,MATCH(Y$2,Galerias!$A$2:$A$37,0))),"",ROUND(INDEX(Galerias!$N$2:$N$37,MATCH(Y$2,Galerias!$A$2:$A$37,0))*INDEX(Galerias!$O$2:$O$37,MATCH(Y$2,Galerias!$A$2:$A$37,0))^($A49-1),0))</f>
        <v/>
      </c>
      <c r="Z49" s="43">
        <f>IF(AND(INDEX(Galerias!$M$2:$M$37,MATCH(Z$2,Galerias!$A$2:$A$37,0))&lt;&gt;"",$A49&gt;INDEX(Galerias!$M$2:$M$37,MATCH(Z$2,Galerias!$A$2:$A$37,0))),"",ROUND(INDEX(Galerias!$N$2:$N$37,MATCH(Z$2,Galerias!$A$2:$A$37,0))*INDEX(Galerias!$O$2:$O$37,MATCH(Z$2,Galerias!$A$2:$A$37,0))^($A49-1),0))</f>
        <v/>
      </c>
      <c r="AA49" s="43">
        <f>IF(AND(INDEX(Galerias!$M$2:$M$37,MATCH(AA$2,Galerias!$A$2:$A$37,0))&lt;&gt;"",$A49&gt;INDEX(Galerias!$M$2:$M$37,MATCH(AA$2,Galerias!$A$2:$A$37,0))),"",ROUND(INDEX(Galerias!$N$2:$N$37,MATCH(AA$2,Galerias!$A$2:$A$37,0))*INDEX(Galerias!$O$2:$O$37,MATCH(AA$2,Galerias!$A$2:$A$37,0))^($A49-1),0))</f>
        <v/>
      </c>
      <c r="AB49" s="43">
        <f>IF(AND(INDEX(Galerias!$M$2:$M$37,MATCH(AB$2,Galerias!$A$2:$A$37,0))&lt;&gt;"",$A49&gt;INDEX(Galerias!$M$2:$M$37,MATCH(AB$2,Galerias!$A$2:$A$37,0))),"",ROUND(INDEX(Galerias!$N$2:$N$37,MATCH(AB$2,Galerias!$A$2:$A$37,0))*INDEX(Galerias!$O$2:$O$37,MATCH(AB$2,Galerias!$A$2:$A$37,0))^($A49-1),0))</f>
        <v/>
      </c>
      <c r="AC49" s="43">
        <f>IF(AND(INDEX(Galerias!$M$2:$M$37,MATCH(AC$2,Galerias!$A$2:$A$37,0))&lt;&gt;"",$A49&gt;INDEX(Galerias!$M$2:$M$37,MATCH(AC$2,Galerias!$A$2:$A$37,0))),"",ROUND(INDEX(Galerias!$N$2:$N$37,MATCH(AC$2,Galerias!$A$2:$A$37,0))*INDEX(Galerias!$O$2:$O$37,MATCH(AC$2,Galerias!$A$2:$A$37,0))^($A49-1),0))</f>
        <v/>
      </c>
      <c r="AD49" s="43">
        <f>IF(AND(INDEX(Galerias!$M$2:$M$37,MATCH(AD$2,Galerias!$A$2:$A$37,0))&lt;&gt;"",$A49&gt;INDEX(Galerias!$M$2:$M$37,MATCH(AD$2,Galerias!$A$2:$A$37,0))),"",ROUND(INDEX(Galerias!$N$2:$N$37,MATCH(AD$2,Galerias!$A$2:$A$37,0))*INDEX(Galerias!$O$2:$O$37,MATCH(AD$2,Galerias!$A$2:$A$37,0))^($A49-1),0))</f>
        <v/>
      </c>
      <c r="AE49" s="43">
        <f>IF(AND(INDEX(Galerias!$M$2:$M$37,MATCH(AE$2,Galerias!$A$2:$A$37,0))&lt;&gt;"",$A49&gt;INDEX(Galerias!$M$2:$M$37,MATCH(AE$2,Galerias!$A$2:$A$37,0))),"",ROUND(INDEX(Galerias!$N$2:$N$37,MATCH(AE$2,Galerias!$A$2:$A$37,0))*INDEX(Galerias!$O$2:$O$37,MATCH(AE$2,Galerias!$A$2:$A$37,0))^($A49-1),0))</f>
        <v/>
      </c>
      <c r="AF49" s="43">
        <f>IF(AND(INDEX(Galerias!$M$2:$M$37,MATCH(AF$2,Galerias!$A$2:$A$37,0))&lt;&gt;"",$A49&gt;INDEX(Galerias!$M$2:$M$37,MATCH(AF$2,Galerias!$A$2:$A$37,0))),"",ROUND(INDEX(Galerias!$N$2:$N$37,MATCH(AF$2,Galerias!$A$2:$A$37,0))*INDEX(Galerias!$O$2:$O$37,MATCH(AF$2,Galerias!$A$2:$A$37,0))^($A49-1),0))</f>
        <v/>
      </c>
      <c r="AG49" s="43">
        <f>IF(AND(INDEX(Galerias!$M$2:$M$37,MATCH(AG$2,Galerias!$A$2:$A$37,0))&lt;&gt;"",$A49&gt;INDEX(Galerias!$M$2:$M$37,MATCH(AG$2,Galerias!$A$2:$A$37,0))),"",ROUND(INDEX(Galerias!$N$2:$N$37,MATCH(AG$2,Galerias!$A$2:$A$37,0))*INDEX(Galerias!$O$2:$O$37,MATCH(AG$2,Galerias!$A$2:$A$37,0))^($A49-1),0))</f>
        <v/>
      </c>
      <c r="AH49" s="43">
        <f>IF(AND(INDEX(Galerias!$M$2:$M$37,MATCH(AH$2,Galerias!$A$2:$A$37,0))&lt;&gt;"",$A49&gt;INDEX(Galerias!$M$2:$M$37,MATCH(AH$2,Galerias!$A$2:$A$37,0))),"",ROUND(INDEX(Galerias!$N$2:$N$37,MATCH(AH$2,Galerias!$A$2:$A$37,0))*INDEX(Galerias!$O$2:$O$37,MATCH(AH$2,Galerias!$A$2:$A$37,0))^($A49-1),0))</f>
        <v/>
      </c>
      <c r="AI49" s="43">
        <f>IF(AND(INDEX(Galerias!$M$2:$M$37,MATCH(AI$2,Galerias!$A$2:$A$37,0))&lt;&gt;"",$A49&gt;INDEX(Galerias!$M$2:$M$37,MATCH(AI$2,Galerias!$A$2:$A$37,0))),"",ROUND(INDEX(Galerias!$N$2:$N$37,MATCH(AI$2,Galerias!$A$2:$A$37,0))*INDEX(Galerias!$O$2:$O$37,MATCH(AI$2,Galerias!$A$2:$A$37,0))^($A49-1),0))</f>
        <v/>
      </c>
      <c r="AJ49" s="43">
        <f>IF(AND(INDEX(Galerias!$M$2:$M$37,MATCH(AJ$2,Galerias!$A$2:$A$37,0))&lt;&gt;"",$A49&gt;INDEX(Galerias!$M$2:$M$37,MATCH(AJ$2,Galerias!$A$2:$A$37,0))),"",ROUND(INDEX(Galerias!$N$2:$N$37,MATCH(AJ$2,Galerias!$A$2:$A$37,0))*INDEX(Galerias!$O$2:$O$37,MATCH(AJ$2,Galerias!$A$2:$A$37,0))^($A49-1),0))</f>
        <v/>
      </c>
      <c r="AK49" s="43">
        <f>IF(AND(INDEX(Galerias!$M$2:$M$37,MATCH(AK$2,Galerias!$A$2:$A$37,0))&lt;&gt;"",$A49&gt;INDEX(Galerias!$M$2:$M$37,MATCH(AK$2,Galerias!$A$2:$A$37,0))),"",ROUND(INDEX(Galerias!$N$2:$N$37,MATCH(AK$2,Galerias!$A$2:$A$37,0))*INDEX(Galerias!$O$2:$O$37,MATCH(AK$2,Galerias!$A$2:$A$37,0))^($A49-1),0))</f>
        <v/>
      </c>
    </row>
    <row r="50" ht="15" customHeight="1" s="23">
      <c r="A50" s="25" t="n">
        <v>48</v>
      </c>
      <c r="B50" s="43">
        <f>IF(AND(INDEX(Galerias!$M$2:$M$37,MATCH(B$2,Galerias!$A$2:$A$37,0))&lt;&gt;"",$A50&gt;INDEX(Galerias!$M$2:$M$37,MATCH(B$2,Galerias!$A$2:$A$37,0))),"",ROUND(INDEX(Galerias!$N$2:$N$37,MATCH(B$2,Galerias!$A$2:$A$37,0))*INDEX(Galerias!$O$2:$O$37,MATCH(B$2,Galerias!$A$2:$A$37,0))^($A50-1),0))</f>
        <v/>
      </c>
      <c r="C50" s="43">
        <f>IF(AND(INDEX(Galerias!$M$2:$M$37,MATCH(C$2,Galerias!$A$2:$A$37,0))&lt;&gt;"",$A50&gt;INDEX(Galerias!$M$2:$M$37,MATCH(C$2,Galerias!$A$2:$A$37,0))),"",ROUND(INDEX(Galerias!$N$2:$N$37,MATCH(C$2,Galerias!$A$2:$A$37,0))*INDEX(Galerias!$O$2:$O$37,MATCH(C$2,Galerias!$A$2:$A$37,0))^($A50-1),0))</f>
        <v/>
      </c>
      <c r="D50" s="43">
        <f>IF(AND(INDEX(Galerias!$M$2:$M$37,MATCH(D$2,Galerias!$A$2:$A$37,0))&lt;&gt;"",$A50&gt;INDEX(Galerias!$M$2:$M$37,MATCH(D$2,Galerias!$A$2:$A$37,0))),"",ROUND(INDEX(Galerias!$N$2:$N$37,MATCH(D$2,Galerias!$A$2:$A$37,0))*INDEX(Galerias!$O$2:$O$37,MATCH(D$2,Galerias!$A$2:$A$37,0))^($A50-1),0))</f>
        <v/>
      </c>
      <c r="E50" s="43">
        <f>IF(AND(INDEX(Galerias!$M$2:$M$37,MATCH(E$2,Galerias!$A$2:$A$37,0))&lt;&gt;"",$A50&gt;INDEX(Galerias!$M$2:$M$37,MATCH(E$2,Galerias!$A$2:$A$37,0))),"",ROUND(INDEX(Galerias!$N$2:$N$37,MATCH(E$2,Galerias!$A$2:$A$37,0))*INDEX(Galerias!$O$2:$O$37,MATCH(E$2,Galerias!$A$2:$A$37,0))^($A50-1),0))</f>
        <v/>
      </c>
      <c r="F50" s="43">
        <f>IF(AND(INDEX(Galerias!$M$2:$M$37,MATCH(F$2,Galerias!$A$2:$A$37,0))&lt;&gt;"",$A50&gt;INDEX(Galerias!$M$2:$M$37,MATCH(F$2,Galerias!$A$2:$A$37,0))),"",ROUND(INDEX(Galerias!$N$2:$N$37,MATCH(F$2,Galerias!$A$2:$A$37,0))*INDEX(Galerias!$O$2:$O$37,MATCH(F$2,Galerias!$A$2:$A$37,0))^($A50-1),0))</f>
        <v/>
      </c>
      <c r="G50" s="43">
        <f>IF(AND(INDEX(Galerias!$M$2:$M$37,MATCH(G$2,Galerias!$A$2:$A$37,0))&lt;&gt;"",$A50&gt;INDEX(Galerias!$M$2:$M$37,MATCH(G$2,Galerias!$A$2:$A$37,0))),"",ROUND(INDEX(Galerias!$N$2:$N$37,MATCH(G$2,Galerias!$A$2:$A$37,0))*INDEX(Galerias!$O$2:$O$37,MATCH(G$2,Galerias!$A$2:$A$37,0))^($A50-1),0))</f>
        <v/>
      </c>
      <c r="H50" s="43">
        <f>IF(AND(INDEX(Galerias!$M$2:$M$37,MATCH(H$2,Galerias!$A$2:$A$37,0))&lt;&gt;"",$A50&gt;INDEX(Galerias!$M$2:$M$37,MATCH(H$2,Galerias!$A$2:$A$37,0))),"",ROUND(INDEX(Galerias!$N$2:$N$37,MATCH(H$2,Galerias!$A$2:$A$37,0))*INDEX(Galerias!$O$2:$O$37,MATCH(H$2,Galerias!$A$2:$A$37,0))^($A50-1),0))</f>
        <v/>
      </c>
      <c r="I50" s="43">
        <f>IF(AND(INDEX(Galerias!$M$2:$M$37,MATCH(I$2,Galerias!$A$2:$A$37,0))&lt;&gt;"",$A50&gt;INDEX(Galerias!$M$2:$M$37,MATCH(I$2,Galerias!$A$2:$A$37,0))),"",ROUND(INDEX(Galerias!$N$2:$N$37,MATCH(I$2,Galerias!$A$2:$A$37,0))*INDEX(Galerias!$O$2:$O$37,MATCH(I$2,Galerias!$A$2:$A$37,0))^($A50-1),0))</f>
        <v/>
      </c>
      <c r="J50" s="43">
        <f>IF(AND(INDEX(Galerias!$M$2:$M$37,MATCH(J$2,Galerias!$A$2:$A$37,0))&lt;&gt;"",$A50&gt;INDEX(Galerias!$M$2:$M$37,MATCH(J$2,Galerias!$A$2:$A$37,0))),"",ROUND(INDEX(Galerias!$N$2:$N$37,MATCH(J$2,Galerias!$A$2:$A$37,0))*INDEX(Galerias!$O$2:$O$37,MATCH(J$2,Galerias!$A$2:$A$37,0))^($A50-1),0))</f>
        <v/>
      </c>
      <c r="K50" s="43">
        <f>IF(AND(INDEX(Galerias!$M$2:$M$37,MATCH(K$2,Galerias!$A$2:$A$37,0))&lt;&gt;"",$A50&gt;INDEX(Galerias!$M$2:$M$37,MATCH(K$2,Galerias!$A$2:$A$37,0))),"",ROUND(INDEX(Galerias!$N$2:$N$37,MATCH(K$2,Galerias!$A$2:$A$37,0))*INDEX(Galerias!$O$2:$O$37,MATCH(K$2,Galerias!$A$2:$A$37,0))^($A50-1),0))</f>
        <v/>
      </c>
      <c r="L50" s="43">
        <f>IF(AND(INDEX(Galerias!$M$2:$M$37,MATCH(L$2,Galerias!$A$2:$A$37,0))&lt;&gt;"",$A50&gt;INDEX(Galerias!$M$2:$M$37,MATCH(L$2,Galerias!$A$2:$A$37,0))),"",ROUND(INDEX(Galerias!$N$2:$N$37,MATCH(L$2,Galerias!$A$2:$A$37,0))*INDEX(Galerias!$O$2:$O$37,MATCH(L$2,Galerias!$A$2:$A$37,0))^($A50-1),0))</f>
        <v/>
      </c>
      <c r="M50" s="43">
        <f>IF(AND(INDEX(Galerias!$M$2:$M$37,MATCH(M$2,Galerias!$A$2:$A$37,0))&lt;&gt;"",$A50&gt;INDEX(Galerias!$M$2:$M$37,MATCH(M$2,Galerias!$A$2:$A$37,0))),"",ROUND(INDEX(Galerias!$N$2:$N$37,MATCH(M$2,Galerias!$A$2:$A$37,0))*INDEX(Galerias!$O$2:$O$37,MATCH(M$2,Galerias!$A$2:$A$37,0))^($A50-1),0))</f>
        <v/>
      </c>
      <c r="N50" s="43">
        <f>IF(AND(INDEX(Galerias!$M$2:$M$37,MATCH(N$2,Galerias!$A$2:$A$37,0))&lt;&gt;"",$A50&gt;INDEX(Galerias!$M$2:$M$37,MATCH(N$2,Galerias!$A$2:$A$37,0))),"",ROUND(INDEX(Galerias!$N$2:$N$37,MATCH(N$2,Galerias!$A$2:$A$37,0))*INDEX(Galerias!$O$2:$O$37,MATCH(N$2,Galerias!$A$2:$A$37,0))^($A50-1),0))</f>
        <v/>
      </c>
      <c r="O50" s="43">
        <f>IF(AND(INDEX(Galerias!$M$2:$M$37,MATCH(O$2,Galerias!$A$2:$A$37,0))&lt;&gt;"",$A50&gt;INDEX(Galerias!$M$2:$M$37,MATCH(O$2,Galerias!$A$2:$A$37,0))),"",ROUND(INDEX(Galerias!$N$2:$N$37,MATCH(O$2,Galerias!$A$2:$A$37,0))*INDEX(Galerias!$O$2:$O$37,MATCH(O$2,Galerias!$A$2:$A$37,0))^($A50-1),0))</f>
        <v/>
      </c>
      <c r="P50" s="43">
        <f>IF(AND(INDEX(Galerias!$M$2:$M$37,MATCH(P$2,Galerias!$A$2:$A$37,0))&lt;&gt;"",$A50&gt;INDEX(Galerias!$M$2:$M$37,MATCH(P$2,Galerias!$A$2:$A$37,0))),"",ROUND(INDEX(Galerias!$N$2:$N$37,MATCH(P$2,Galerias!$A$2:$A$37,0))*INDEX(Galerias!$O$2:$O$37,MATCH(P$2,Galerias!$A$2:$A$37,0))^($A50-1),0))</f>
        <v/>
      </c>
      <c r="Q50" s="43">
        <f>IF(AND(INDEX(Galerias!$M$2:$M$37,MATCH(Q$2,Galerias!$A$2:$A$37,0))&lt;&gt;"",$A50&gt;INDEX(Galerias!$M$2:$M$37,MATCH(Q$2,Galerias!$A$2:$A$37,0))),"",ROUND(INDEX(Galerias!$N$2:$N$37,MATCH(Q$2,Galerias!$A$2:$A$37,0))*INDEX(Galerias!$O$2:$O$37,MATCH(Q$2,Galerias!$A$2:$A$37,0))^($A50-1),0))</f>
        <v/>
      </c>
      <c r="R50" s="43">
        <f>IF(AND(INDEX(Galerias!$M$2:$M$37,MATCH(R$2,Galerias!$A$2:$A$37,0))&lt;&gt;"",$A50&gt;INDEX(Galerias!$M$2:$M$37,MATCH(R$2,Galerias!$A$2:$A$37,0))),"",ROUND(INDEX(Galerias!$N$2:$N$37,MATCH(R$2,Galerias!$A$2:$A$37,0))*INDEX(Galerias!$O$2:$O$37,MATCH(R$2,Galerias!$A$2:$A$37,0))^($A50-1),0))</f>
        <v/>
      </c>
      <c r="S50" s="43">
        <f>IF(AND(INDEX(Galerias!$M$2:$M$37,MATCH(S$2,Galerias!$A$2:$A$37,0))&lt;&gt;"",$A50&gt;INDEX(Galerias!$M$2:$M$37,MATCH(S$2,Galerias!$A$2:$A$37,0))),"",ROUND(INDEX(Galerias!$N$2:$N$37,MATCH(S$2,Galerias!$A$2:$A$37,0))*INDEX(Galerias!$O$2:$O$37,MATCH(S$2,Galerias!$A$2:$A$37,0))^($A50-1),0))</f>
        <v/>
      </c>
      <c r="T50" s="43">
        <f>IF(AND(INDEX(Galerias!$M$2:$M$37,MATCH(T$2,Galerias!$A$2:$A$37,0))&lt;&gt;"",$A50&gt;INDEX(Galerias!$M$2:$M$37,MATCH(T$2,Galerias!$A$2:$A$37,0))),"",ROUND(INDEX(Galerias!$N$2:$N$37,MATCH(T$2,Galerias!$A$2:$A$37,0))*INDEX(Galerias!$O$2:$O$37,MATCH(T$2,Galerias!$A$2:$A$37,0))^($A50-1),0))</f>
        <v/>
      </c>
      <c r="U50" s="43">
        <f>IF(AND(INDEX(Galerias!$M$2:$M$37,MATCH(U$2,Galerias!$A$2:$A$37,0))&lt;&gt;"",$A50&gt;INDEX(Galerias!$M$2:$M$37,MATCH(U$2,Galerias!$A$2:$A$37,0))),"",ROUND(INDEX(Galerias!$N$2:$N$37,MATCH(U$2,Galerias!$A$2:$A$37,0))*INDEX(Galerias!$O$2:$O$37,MATCH(U$2,Galerias!$A$2:$A$37,0))^($A50-1),0))</f>
        <v/>
      </c>
      <c r="V50" s="43">
        <f>IF(AND(INDEX(Galerias!$M$2:$M$37,MATCH(V$2,Galerias!$A$2:$A$37,0))&lt;&gt;"",$A50&gt;INDEX(Galerias!$M$2:$M$37,MATCH(V$2,Galerias!$A$2:$A$37,0))),"",ROUND(INDEX(Galerias!$N$2:$N$37,MATCH(V$2,Galerias!$A$2:$A$37,0))*INDEX(Galerias!$O$2:$O$37,MATCH(V$2,Galerias!$A$2:$A$37,0))^($A50-1),0))</f>
        <v/>
      </c>
      <c r="W50" s="43">
        <f>IF(AND(INDEX(Galerias!$M$2:$M$37,MATCH(W$2,Galerias!$A$2:$A$37,0))&lt;&gt;"",$A50&gt;INDEX(Galerias!$M$2:$M$37,MATCH(W$2,Galerias!$A$2:$A$37,0))),"",ROUND(INDEX(Galerias!$N$2:$N$37,MATCH(W$2,Galerias!$A$2:$A$37,0))*INDEX(Galerias!$O$2:$O$37,MATCH(W$2,Galerias!$A$2:$A$37,0))^($A50-1),0))</f>
        <v/>
      </c>
      <c r="X50" s="43">
        <f>IF(AND(INDEX(Galerias!$M$2:$M$37,MATCH(X$2,Galerias!$A$2:$A$37,0))&lt;&gt;"",$A50&gt;INDEX(Galerias!$M$2:$M$37,MATCH(X$2,Galerias!$A$2:$A$37,0))),"",ROUND(INDEX(Galerias!$N$2:$N$37,MATCH(X$2,Galerias!$A$2:$A$37,0))*INDEX(Galerias!$O$2:$O$37,MATCH(X$2,Galerias!$A$2:$A$37,0))^($A50-1),0))</f>
        <v/>
      </c>
      <c r="Y50" s="43">
        <f>IF(AND(INDEX(Galerias!$M$2:$M$37,MATCH(Y$2,Galerias!$A$2:$A$37,0))&lt;&gt;"",$A50&gt;INDEX(Galerias!$M$2:$M$37,MATCH(Y$2,Galerias!$A$2:$A$37,0))),"",ROUND(INDEX(Galerias!$N$2:$N$37,MATCH(Y$2,Galerias!$A$2:$A$37,0))*INDEX(Galerias!$O$2:$O$37,MATCH(Y$2,Galerias!$A$2:$A$37,0))^($A50-1),0))</f>
        <v/>
      </c>
      <c r="Z50" s="43">
        <f>IF(AND(INDEX(Galerias!$M$2:$M$37,MATCH(Z$2,Galerias!$A$2:$A$37,0))&lt;&gt;"",$A50&gt;INDEX(Galerias!$M$2:$M$37,MATCH(Z$2,Galerias!$A$2:$A$37,0))),"",ROUND(INDEX(Galerias!$N$2:$N$37,MATCH(Z$2,Galerias!$A$2:$A$37,0))*INDEX(Galerias!$O$2:$O$37,MATCH(Z$2,Galerias!$A$2:$A$37,0))^($A50-1),0))</f>
        <v/>
      </c>
      <c r="AA50" s="43">
        <f>IF(AND(INDEX(Galerias!$M$2:$M$37,MATCH(AA$2,Galerias!$A$2:$A$37,0))&lt;&gt;"",$A50&gt;INDEX(Galerias!$M$2:$M$37,MATCH(AA$2,Galerias!$A$2:$A$37,0))),"",ROUND(INDEX(Galerias!$N$2:$N$37,MATCH(AA$2,Galerias!$A$2:$A$37,0))*INDEX(Galerias!$O$2:$O$37,MATCH(AA$2,Galerias!$A$2:$A$37,0))^($A50-1),0))</f>
        <v/>
      </c>
      <c r="AB50" s="43">
        <f>IF(AND(INDEX(Galerias!$M$2:$M$37,MATCH(AB$2,Galerias!$A$2:$A$37,0))&lt;&gt;"",$A50&gt;INDEX(Galerias!$M$2:$M$37,MATCH(AB$2,Galerias!$A$2:$A$37,0))),"",ROUND(INDEX(Galerias!$N$2:$N$37,MATCH(AB$2,Galerias!$A$2:$A$37,0))*INDEX(Galerias!$O$2:$O$37,MATCH(AB$2,Galerias!$A$2:$A$37,0))^($A50-1),0))</f>
        <v/>
      </c>
      <c r="AC50" s="43">
        <f>IF(AND(INDEX(Galerias!$M$2:$M$37,MATCH(AC$2,Galerias!$A$2:$A$37,0))&lt;&gt;"",$A50&gt;INDEX(Galerias!$M$2:$M$37,MATCH(AC$2,Galerias!$A$2:$A$37,0))),"",ROUND(INDEX(Galerias!$N$2:$N$37,MATCH(AC$2,Galerias!$A$2:$A$37,0))*INDEX(Galerias!$O$2:$O$37,MATCH(AC$2,Galerias!$A$2:$A$37,0))^($A50-1),0))</f>
        <v/>
      </c>
      <c r="AD50" s="43">
        <f>IF(AND(INDEX(Galerias!$M$2:$M$37,MATCH(AD$2,Galerias!$A$2:$A$37,0))&lt;&gt;"",$A50&gt;INDEX(Galerias!$M$2:$M$37,MATCH(AD$2,Galerias!$A$2:$A$37,0))),"",ROUND(INDEX(Galerias!$N$2:$N$37,MATCH(AD$2,Galerias!$A$2:$A$37,0))*INDEX(Galerias!$O$2:$O$37,MATCH(AD$2,Galerias!$A$2:$A$37,0))^($A50-1),0))</f>
        <v/>
      </c>
      <c r="AE50" s="43">
        <f>IF(AND(INDEX(Galerias!$M$2:$M$37,MATCH(AE$2,Galerias!$A$2:$A$37,0))&lt;&gt;"",$A50&gt;INDEX(Galerias!$M$2:$M$37,MATCH(AE$2,Galerias!$A$2:$A$37,0))),"",ROUND(INDEX(Galerias!$N$2:$N$37,MATCH(AE$2,Galerias!$A$2:$A$37,0))*INDEX(Galerias!$O$2:$O$37,MATCH(AE$2,Galerias!$A$2:$A$37,0))^($A50-1),0))</f>
        <v/>
      </c>
      <c r="AF50" s="43">
        <f>IF(AND(INDEX(Galerias!$M$2:$M$37,MATCH(AF$2,Galerias!$A$2:$A$37,0))&lt;&gt;"",$A50&gt;INDEX(Galerias!$M$2:$M$37,MATCH(AF$2,Galerias!$A$2:$A$37,0))),"",ROUND(INDEX(Galerias!$N$2:$N$37,MATCH(AF$2,Galerias!$A$2:$A$37,0))*INDEX(Galerias!$O$2:$O$37,MATCH(AF$2,Galerias!$A$2:$A$37,0))^($A50-1),0))</f>
        <v/>
      </c>
      <c r="AG50" s="43">
        <f>IF(AND(INDEX(Galerias!$M$2:$M$37,MATCH(AG$2,Galerias!$A$2:$A$37,0))&lt;&gt;"",$A50&gt;INDEX(Galerias!$M$2:$M$37,MATCH(AG$2,Galerias!$A$2:$A$37,0))),"",ROUND(INDEX(Galerias!$N$2:$N$37,MATCH(AG$2,Galerias!$A$2:$A$37,0))*INDEX(Galerias!$O$2:$O$37,MATCH(AG$2,Galerias!$A$2:$A$37,0))^($A50-1),0))</f>
        <v/>
      </c>
      <c r="AH50" s="43">
        <f>IF(AND(INDEX(Galerias!$M$2:$M$37,MATCH(AH$2,Galerias!$A$2:$A$37,0))&lt;&gt;"",$A50&gt;INDEX(Galerias!$M$2:$M$37,MATCH(AH$2,Galerias!$A$2:$A$37,0))),"",ROUND(INDEX(Galerias!$N$2:$N$37,MATCH(AH$2,Galerias!$A$2:$A$37,0))*INDEX(Galerias!$O$2:$O$37,MATCH(AH$2,Galerias!$A$2:$A$37,0))^($A50-1),0))</f>
        <v/>
      </c>
      <c r="AI50" s="43">
        <f>IF(AND(INDEX(Galerias!$M$2:$M$37,MATCH(AI$2,Galerias!$A$2:$A$37,0))&lt;&gt;"",$A50&gt;INDEX(Galerias!$M$2:$M$37,MATCH(AI$2,Galerias!$A$2:$A$37,0))),"",ROUND(INDEX(Galerias!$N$2:$N$37,MATCH(AI$2,Galerias!$A$2:$A$37,0))*INDEX(Galerias!$O$2:$O$37,MATCH(AI$2,Galerias!$A$2:$A$37,0))^($A50-1),0))</f>
        <v/>
      </c>
      <c r="AJ50" s="43">
        <f>IF(AND(INDEX(Galerias!$M$2:$M$37,MATCH(AJ$2,Galerias!$A$2:$A$37,0))&lt;&gt;"",$A50&gt;INDEX(Galerias!$M$2:$M$37,MATCH(AJ$2,Galerias!$A$2:$A$37,0))),"",ROUND(INDEX(Galerias!$N$2:$N$37,MATCH(AJ$2,Galerias!$A$2:$A$37,0))*INDEX(Galerias!$O$2:$O$37,MATCH(AJ$2,Galerias!$A$2:$A$37,0))^($A50-1),0))</f>
        <v/>
      </c>
      <c r="AK50" s="43">
        <f>IF(AND(INDEX(Galerias!$M$2:$M$37,MATCH(AK$2,Galerias!$A$2:$A$37,0))&lt;&gt;"",$A50&gt;INDEX(Galerias!$M$2:$M$37,MATCH(AK$2,Galerias!$A$2:$A$37,0))),"",ROUND(INDEX(Galerias!$N$2:$N$37,MATCH(AK$2,Galerias!$A$2:$A$37,0))*INDEX(Galerias!$O$2:$O$37,MATCH(AK$2,Galerias!$A$2:$A$37,0))^($A50-1),0))</f>
        <v/>
      </c>
    </row>
    <row r="51" ht="15" customHeight="1" s="23">
      <c r="A51" s="25" t="n">
        <v>49</v>
      </c>
      <c r="B51" s="43">
        <f>IF(AND(INDEX(Galerias!$M$2:$M$37,MATCH(B$2,Galerias!$A$2:$A$37,0))&lt;&gt;"",$A51&gt;INDEX(Galerias!$M$2:$M$37,MATCH(B$2,Galerias!$A$2:$A$37,0))),"",ROUND(INDEX(Galerias!$N$2:$N$37,MATCH(B$2,Galerias!$A$2:$A$37,0))*INDEX(Galerias!$O$2:$O$37,MATCH(B$2,Galerias!$A$2:$A$37,0))^($A51-1),0))</f>
        <v/>
      </c>
      <c r="C51" s="43">
        <f>IF(AND(INDEX(Galerias!$M$2:$M$37,MATCH(C$2,Galerias!$A$2:$A$37,0))&lt;&gt;"",$A51&gt;INDEX(Galerias!$M$2:$M$37,MATCH(C$2,Galerias!$A$2:$A$37,0))),"",ROUND(INDEX(Galerias!$N$2:$N$37,MATCH(C$2,Galerias!$A$2:$A$37,0))*INDEX(Galerias!$O$2:$O$37,MATCH(C$2,Galerias!$A$2:$A$37,0))^($A51-1),0))</f>
        <v/>
      </c>
      <c r="D51" s="43">
        <f>IF(AND(INDEX(Galerias!$M$2:$M$37,MATCH(D$2,Galerias!$A$2:$A$37,0))&lt;&gt;"",$A51&gt;INDEX(Galerias!$M$2:$M$37,MATCH(D$2,Galerias!$A$2:$A$37,0))),"",ROUND(INDEX(Galerias!$N$2:$N$37,MATCH(D$2,Galerias!$A$2:$A$37,0))*INDEX(Galerias!$O$2:$O$37,MATCH(D$2,Galerias!$A$2:$A$37,0))^($A51-1),0))</f>
        <v/>
      </c>
      <c r="E51" s="43">
        <f>IF(AND(INDEX(Galerias!$M$2:$M$37,MATCH(E$2,Galerias!$A$2:$A$37,0))&lt;&gt;"",$A51&gt;INDEX(Galerias!$M$2:$M$37,MATCH(E$2,Galerias!$A$2:$A$37,0))),"",ROUND(INDEX(Galerias!$N$2:$N$37,MATCH(E$2,Galerias!$A$2:$A$37,0))*INDEX(Galerias!$O$2:$O$37,MATCH(E$2,Galerias!$A$2:$A$37,0))^($A51-1),0))</f>
        <v/>
      </c>
      <c r="F51" s="43">
        <f>IF(AND(INDEX(Galerias!$M$2:$M$37,MATCH(F$2,Galerias!$A$2:$A$37,0))&lt;&gt;"",$A51&gt;INDEX(Galerias!$M$2:$M$37,MATCH(F$2,Galerias!$A$2:$A$37,0))),"",ROUND(INDEX(Galerias!$N$2:$N$37,MATCH(F$2,Galerias!$A$2:$A$37,0))*INDEX(Galerias!$O$2:$O$37,MATCH(F$2,Galerias!$A$2:$A$37,0))^($A51-1),0))</f>
        <v/>
      </c>
      <c r="G51" s="43">
        <f>IF(AND(INDEX(Galerias!$M$2:$M$37,MATCH(G$2,Galerias!$A$2:$A$37,0))&lt;&gt;"",$A51&gt;INDEX(Galerias!$M$2:$M$37,MATCH(G$2,Galerias!$A$2:$A$37,0))),"",ROUND(INDEX(Galerias!$N$2:$N$37,MATCH(G$2,Galerias!$A$2:$A$37,0))*INDEX(Galerias!$O$2:$O$37,MATCH(G$2,Galerias!$A$2:$A$37,0))^($A51-1),0))</f>
        <v/>
      </c>
      <c r="H51" s="43">
        <f>IF(AND(INDEX(Galerias!$M$2:$M$37,MATCH(H$2,Galerias!$A$2:$A$37,0))&lt;&gt;"",$A51&gt;INDEX(Galerias!$M$2:$M$37,MATCH(H$2,Galerias!$A$2:$A$37,0))),"",ROUND(INDEX(Galerias!$N$2:$N$37,MATCH(H$2,Galerias!$A$2:$A$37,0))*INDEX(Galerias!$O$2:$O$37,MATCH(H$2,Galerias!$A$2:$A$37,0))^($A51-1),0))</f>
        <v/>
      </c>
      <c r="I51" s="43">
        <f>IF(AND(INDEX(Galerias!$M$2:$M$37,MATCH(I$2,Galerias!$A$2:$A$37,0))&lt;&gt;"",$A51&gt;INDEX(Galerias!$M$2:$M$37,MATCH(I$2,Galerias!$A$2:$A$37,0))),"",ROUND(INDEX(Galerias!$N$2:$N$37,MATCH(I$2,Galerias!$A$2:$A$37,0))*INDEX(Galerias!$O$2:$O$37,MATCH(I$2,Galerias!$A$2:$A$37,0))^($A51-1),0))</f>
        <v/>
      </c>
      <c r="J51" s="43">
        <f>IF(AND(INDEX(Galerias!$M$2:$M$37,MATCH(J$2,Galerias!$A$2:$A$37,0))&lt;&gt;"",$A51&gt;INDEX(Galerias!$M$2:$M$37,MATCH(J$2,Galerias!$A$2:$A$37,0))),"",ROUND(INDEX(Galerias!$N$2:$N$37,MATCH(J$2,Galerias!$A$2:$A$37,0))*INDEX(Galerias!$O$2:$O$37,MATCH(J$2,Galerias!$A$2:$A$37,0))^($A51-1),0))</f>
        <v/>
      </c>
      <c r="K51" s="43">
        <f>IF(AND(INDEX(Galerias!$M$2:$M$37,MATCH(K$2,Galerias!$A$2:$A$37,0))&lt;&gt;"",$A51&gt;INDEX(Galerias!$M$2:$M$37,MATCH(K$2,Galerias!$A$2:$A$37,0))),"",ROUND(INDEX(Galerias!$N$2:$N$37,MATCH(K$2,Galerias!$A$2:$A$37,0))*INDEX(Galerias!$O$2:$O$37,MATCH(K$2,Galerias!$A$2:$A$37,0))^($A51-1),0))</f>
        <v/>
      </c>
      <c r="L51" s="43">
        <f>IF(AND(INDEX(Galerias!$M$2:$M$37,MATCH(L$2,Galerias!$A$2:$A$37,0))&lt;&gt;"",$A51&gt;INDEX(Galerias!$M$2:$M$37,MATCH(L$2,Galerias!$A$2:$A$37,0))),"",ROUND(INDEX(Galerias!$N$2:$N$37,MATCH(L$2,Galerias!$A$2:$A$37,0))*INDEX(Galerias!$O$2:$O$37,MATCH(L$2,Galerias!$A$2:$A$37,0))^($A51-1),0))</f>
        <v/>
      </c>
      <c r="M51" s="43">
        <f>IF(AND(INDEX(Galerias!$M$2:$M$37,MATCH(M$2,Galerias!$A$2:$A$37,0))&lt;&gt;"",$A51&gt;INDEX(Galerias!$M$2:$M$37,MATCH(M$2,Galerias!$A$2:$A$37,0))),"",ROUND(INDEX(Galerias!$N$2:$N$37,MATCH(M$2,Galerias!$A$2:$A$37,0))*INDEX(Galerias!$O$2:$O$37,MATCH(M$2,Galerias!$A$2:$A$37,0))^($A51-1),0))</f>
        <v/>
      </c>
      <c r="N51" s="43">
        <f>IF(AND(INDEX(Galerias!$M$2:$M$37,MATCH(N$2,Galerias!$A$2:$A$37,0))&lt;&gt;"",$A51&gt;INDEX(Galerias!$M$2:$M$37,MATCH(N$2,Galerias!$A$2:$A$37,0))),"",ROUND(INDEX(Galerias!$N$2:$N$37,MATCH(N$2,Galerias!$A$2:$A$37,0))*INDEX(Galerias!$O$2:$O$37,MATCH(N$2,Galerias!$A$2:$A$37,0))^($A51-1),0))</f>
        <v/>
      </c>
      <c r="O51" s="43">
        <f>IF(AND(INDEX(Galerias!$M$2:$M$37,MATCH(O$2,Galerias!$A$2:$A$37,0))&lt;&gt;"",$A51&gt;INDEX(Galerias!$M$2:$M$37,MATCH(O$2,Galerias!$A$2:$A$37,0))),"",ROUND(INDEX(Galerias!$N$2:$N$37,MATCH(O$2,Galerias!$A$2:$A$37,0))*INDEX(Galerias!$O$2:$O$37,MATCH(O$2,Galerias!$A$2:$A$37,0))^($A51-1),0))</f>
        <v/>
      </c>
      <c r="P51" s="43">
        <f>IF(AND(INDEX(Galerias!$M$2:$M$37,MATCH(P$2,Galerias!$A$2:$A$37,0))&lt;&gt;"",$A51&gt;INDEX(Galerias!$M$2:$M$37,MATCH(P$2,Galerias!$A$2:$A$37,0))),"",ROUND(INDEX(Galerias!$N$2:$N$37,MATCH(P$2,Galerias!$A$2:$A$37,0))*INDEX(Galerias!$O$2:$O$37,MATCH(P$2,Galerias!$A$2:$A$37,0))^($A51-1),0))</f>
        <v/>
      </c>
      <c r="Q51" s="43">
        <f>IF(AND(INDEX(Galerias!$M$2:$M$37,MATCH(Q$2,Galerias!$A$2:$A$37,0))&lt;&gt;"",$A51&gt;INDEX(Galerias!$M$2:$M$37,MATCH(Q$2,Galerias!$A$2:$A$37,0))),"",ROUND(INDEX(Galerias!$N$2:$N$37,MATCH(Q$2,Galerias!$A$2:$A$37,0))*INDEX(Galerias!$O$2:$O$37,MATCH(Q$2,Galerias!$A$2:$A$37,0))^($A51-1),0))</f>
        <v/>
      </c>
      <c r="R51" s="43">
        <f>IF(AND(INDEX(Galerias!$M$2:$M$37,MATCH(R$2,Galerias!$A$2:$A$37,0))&lt;&gt;"",$A51&gt;INDEX(Galerias!$M$2:$M$37,MATCH(R$2,Galerias!$A$2:$A$37,0))),"",ROUND(INDEX(Galerias!$N$2:$N$37,MATCH(R$2,Galerias!$A$2:$A$37,0))*INDEX(Galerias!$O$2:$O$37,MATCH(R$2,Galerias!$A$2:$A$37,0))^($A51-1),0))</f>
        <v/>
      </c>
      <c r="S51" s="43">
        <f>IF(AND(INDEX(Galerias!$M$2:$M$37,MATCH(S$2,Galerias!$A$2:$A$37,0))&lt;&gt;"",$A51&gt;INDEX(Galerias!$M$2:$M$37,MATCH(S$2,Galerias!$A$2:$A$37,0))),"",ROUND(INDEX(Galerias!$N$2:$N$37,MATCH(S$2,Galerias!$A$2:$A$37,0))*INDEX(Galerias!$O$2:$O$37,MATCH(S$2,Galerias!$A$2:$A$37,0))^($A51-1),0))</f>
        <v/>
      </c>
      <c r="T51" s="43">
        <f>IF(AND(INDEX(Galerias!$M$2:$M$37,MATCH(T$2,Galerias!$A$2:$A$37,0))&lt;&gt;"",$A51&gt;INDEX(Galerias!$M$2:$M$37,MATCH(T$2,Galerias!$A$2:$A$37,0))),"",ROUND(INDEX(Galerias!$N$2:$N$37,MATCH(T$2,Galerias!$A$2:$A$37,0))*INDEX(Galerias!$O$2:$O$37,MATCH(T$2,Galerias!$A$2:$A$37,0))^($A51-1),0))</f>
        <v/>
      </c>
      <c r="U51" s="43">
        <f>IF(AND(INDEX(Galerias!$M$2:$M$37,MATCH(U$2,Galerias!$A$2:$A$37,0))&lt;&gt;"",$A51&gt;INDEX(Galerias!$M$2:$M$37,MATCH(U$2,Galerias!$A$2:$A$37,0))),"",ROUND(INDEX(Galerias!$N$2:$N$37,MATCH(U$2,Galerias!$A$2:$A$37,0))*INDEX(Galerias!$O$2:$O$37,MATCH(U$2,Galerias!$A$2:$A$37,0))^($A51-1),0))</f>
        <v/>
      </c>
      <c r="V51" s="43">
        <f>IF(AND(INDEX(Galerias!$M$2:$M$37,MATCH(V$2,Galerias!$A$2:$A$37,0))&lt;&gt;"",$A51&gt;INDEX(Galerias!$M$2:$M$37,MATCH(V$2,Galerias!$A$2:$A$37,0))),"",ROUND(INDEX(Galerias!$N$2:$N$37,MATCH(V$2,Galerias!$A$2:$A$37,0))*INDEX(Galerias!$O$2:$O$37,MATCH(V$2,Galerias!$A$2:$A$37,0))^($A51-1),0))</f>
        <v/>
      </c>
      <c r="W51" s="43">
        <f>IF(AND(INDEX(Galerias!$M$2:$M$37,MATCH(W$2,Galerias!$A$2:$A$37,0))&lt;&gt;"",$A51&gt;INDEX(Galerias!$M$2:$M$37,MATCH(W$2,Galerias!$A$2:$A$37,0))),"",ROUND(INDEX(Galerias!$N$2:$N$37,MATCH(W$2,Galerias!$A$2:$A$37,0))*INDEX(Galerias!$O$2:$O$37,MATCH(W$2,Galerias!$A$2:$A$37,0))^($A51-1),0))</f>
        <v/>
      </c>
      <c r="X51" s="43">
        <f>IF(AND(INDEX(Galerias!$M$2:$M$37,MATCH(X$2,Galerias!$A$2:$A$37,0))&lt;&gt;"",$A51&gt;INDEX(Galerias!$M$2:$M$37,MATCH(X$2,Galerias!$A$2:$A$37,0))),"",ROUND(INDEX(Galerias!$N$2:$N$37,MATCH(X$2,Galerias!$A$2:$A$37,0))*INDEX(Galerias!$O$2:$O$37,MATCH(X$2,Galerias!$A$2:$A$37,0))^($A51-1),0))</f>
        <v/>
      </c>
      <c r="Y51" s="43">
        <f>IF(AND(INDEX(Galerias!$M$2:$M$37,MATCH(Y$2,Galerias!$A$2:$A$37,0))&lt;&gt;"",$A51&gt;INDEX(Galerias!$M$2:$M$37,MATCH(Y$2,Galerias!$A$2:$A$37,0))),"",ROUND(INDEX(Galerias!$N$2:$N$37,MATCH(Y$2,Galerias!$A$2:$A$37,0))*INDEX(Galerias!$O$2:$O$37,MATCH(Y$2,Galerias!$A$2:$A$37,0))^($A51-1),0))</f>
        <v/>
      </c>
      <c r="Z51" s="43">
        <f>IF(AND(INDEX(Galerias!$M$2:$M$37,MATCH(Z$2,Galerias!$A$2:$A$37,0))&lt;&gt;"",$A51&gt;INDEX(Galerias!$M$2:$M$37,MATCH(Z$2,Galerias!$A$2:$A$37,0))),"",ROUND(INDEX(Galerias!$N$2:$N$37,MATCH(Z$2,Galerias!$A$2:$A$37,0))*INDEX(Galerias!$O$2:$O$37,MATCH(Z$2,Galerias!$A$2:$A$37,0))^($A51-1),0))</f>
        <v/>
      </c>
      <c r="AA51" s="43">
        <f>IF(AND(INDEX(Galerias!$M$2:$M$37,MATCH(AA$2,Galerias!$A$2:$A$37,0))&lt;&gt;"",$A51&gt;INDEX(Galerias!$M$2:$M$37,MATCH(AA$2,Galerias!$A$2:$A$37,0))),"",ROUND(INDEX(Galerias!$N$2:$N$37,MATCH(AA$2,Galerias!$A$2:$A$37,0))*INDEX(Galerias!$O$2:$O$37,MATCH(AA$2,Galerias!$A$2:$A$37,0))^($A51-1),0))</f>
        <v/>
      </c>
      <c r="AB51" s="43">
        <f>IF(AND(INDEX(Galerias!$M$2:$M$37,MATCH(AB$2,Galerias!$A$2:$A$37,0))&lt;&gt;"",$A51&gt;INDEX(Galerias!$M$2:$M$37,MATCH(AB$2,Galerias!$A$2:$A$37,0))),"",ROUND(INDEX(Galerias!$N$2:$N$37,MATCH(AB$2,Galerias!$A$2:$A$37,0))*INDEX(Galerias!$O$2:$O$37,MATCH(AB$2,Galerias!$A$2:$A$37,0))^($A51-1),0))</f>
        <v/>
      </c>
      <c r="AC51" s="43">
        <f>IF(AND(INDEX(Galerias!$M$2:$M$37,MATCH(AC$2,Galerias!$A$2:$A$37,0))&lt;&gt;"",$A51&gt;INDEX(Galerias!$M$2:$M$37,MATCH(AC$2,Galerias!$A$2:$A$37,0))),"",ROUND(INDEX(Galerias!$N$2:$N$37,MATCH(AC$2,Galerias!$A$2:$A$37,0))*INDEX(Galerias!$O$2:$O$37,MATCH(AC$2,Galerias!$A$2:$A$37,0))^($A51-1),0))</f>
        <v/>
      </c>
      <c r="AD51" s="43">
        <f>IF(AND(INDEX(Galerias!$M$2:$M$37,MATCH(AD$2,Galerias!$A$2:$A$37,0))&lt;&gt;"",$A51&gt;INDEX(Galerias!$M$2:$M$37,MATCH(AD$2,Galerias!$A$2:$A$37,0))),"",ROUND(INDEX(Galerias!$N$2:$N$37,MATCH(AD$2,Galerias!$A$2:$A$37,0))*INDEX(Galerias!$O$2:$O$37,MATCH(AD$2,Galerias!$A$2:$A$37,0))^($A51-1),0))</f>
        <v/>
      </c>
      <c r="AE51" s="43">
        <f>IF(AND(INDEX(Galerias!$M$2:$M$37,MATCH(AE$2,Galerias!$A$2:$A$37,0))&lt;&gt;"",$A51&gt;INDEX(Galerias!$M$2:$M$37,MATCH(AE$2,Galerias!$A$2:$A$37,0))),"",ROUND(INDEX(Galerias!$N$2:$N$37,MATCH(AE$2,Galerias!$A$2:$A$37,0))*INDEX(Galerias!$O$2:$O$37,MATCH(AE$2,Galerias!$A$2:$A$37,0))^($A51-1),0))</f>
        <v/>
      </c>
      <c r="AF51" s="43">
        <f>IF(AND(INDEX(Galerias!$M$2:$M$37,MATCH(AF$2,Galerias!$A$2:$A$37,0))&lt;&gt;"",$A51&gt;INDEX(Galerias!$M$2:$M$37,MATCH(AF$2,Galerias!$A$2:$A$37,0))),"",ROUND(INDEX(Galerias!$N$2:$N$37,MATCH(AF$2,Galerias!$A$2:$A$37,0))*INDEX(Galerias!$O$2:$O$37,MATCH(AF$2,Galerias!$A$2:$A$37,0))^($A51-1),0))</f>
        <v/>
      </c>
      <c r="AG51" s="43">
        <f>IF(AND(INDEX(Galerias!$M$2:$M$37,MATCH(AG$2,Galerias!$A$2:$A$37,0))&lt;&gt;"",$A51&gt;INDEX(Galerias!$M$2:$M$37,MATCH(AG$2,Galerias!$A$2:$A$37,0))),"",ROUND(INDEX(Galerias!$N$2:$N$37,MATCH(AG$2,Galerias!$A$2:$A$37,0))*INDEX(Galerias!$O$2:$O$37,MATCH(AG$2,Galerias!$A$2:$A$37,0))^($A51-1),0))</f>
        <v/>
      </c>
      <c r="AH51" s="43">
        <f>IF(AND(INDEX(Galerias!$M$2:$M$37,MATCH(AH$2,Galerias!$A$2:$A$37,0))&lt;&gt;"",$A51&gt;INDEX(Galerias!$M$2:$M$37,MATCH(AH$2,Galerias!$A$2:$A$37,0))),"",ROUND(INDEX(Galerias!$N$2:$N$37,MATCH(AH$2,Galerias!$A$2:$A$37,0))*INDEX(Galerias!$O$2:$O$37,MATCH(AH$2,Galerias!$A$2:$A$37,0))^($A51-1),0))</f>
        <v/>
      </c>
      <c r="AI51" s="43">
        <f>IF(AND(INDEX(Galerias!$M$2:$M$37,MATCH(AI$2,Galerias!$A$2:$A$37,0))&lt;&gt;"",$A51&gt;INDEX(Galerias!$M$2:$M$37,MATCH(AI$2,Galerias!$A$2:$A$37,0))),"",ROUND(INDEX(Galerias!$N$2:$N$37,MATCH(AI$2,Galerias!$A$2:$A$37,0))*INDEX(Galerias!$O$2:$O$37,MATCH(AI$2,Galerias!$A$2:$A$37,0))^($A51-1),0))</f>
        <v/>
      </c>
      <c r="AJ51" s="43">
        <f>IF(AND(INDEX(Galerias!$M$2:$M$37,MATCH(AJ$2,Galerias!$A$2:$A$37,0))&lt;&gt;"",$A51&gt;INDEX(Galerias!$M$2:$M$37,MATCH(AJ$2,Galerias!$A$2:$A$37,0))),"",ROUND(INDEX(Galerias!$N$2:$N$37,MATCH(AJ$2,Galerias!$A$2:$A$37,0))*INDEX(Galerias!$O$2:$O$37,MATCH(AJ$2,Galerias!$A$2:$A$37,0))^($A51-1),0))</f>
        <v/>
      </c>
      <c r="AK51" s="43">
        <f>IF(AND(INDEX(Galerias!$M$2:$M$37,MATCH(AK$2,Galerias!$A$2:$A$37,0))&lt;&gt;"",$A51&gt;INDEX(Galerias!$M$2:$M$37,MATCH(AK$2,Galerias!$A$2:$A$37,0))),"",ROUND(INDEX(Galerias!$N$2:$N$37,MATCH(AK$2,Galerias!$A$2:$A$37,0))*INDEX(Galerias!$O$2:$O$37,MATCH(AK$2,Galerias!$A$2:$A$37,0))^($A51-1),0))</f>
        <v/>
      </c>
    </row>
    <row r="52" ht="15" customHeight="1" s="23">
      <c r="A52" s="25" t="n">
        <v>50</v>
      </c>
      <c r="B52" s="43">
        <f>IF(AND(INDEX(Galerias!$M$2:$M$37,MATCH(B$2,Galerias!$A$2:$A$37,0))&lt;&gt;"",$A52&gt;INDEX(Galerias!$M$2:$M$37,MATCH(B$2,Galerias!$A$2:$A$37,0))),"",ROUND(INDEX(Galerias!$N$2:$N$37,MATCH(B$2,Galerias!$A$2:$A$37,0))*INDEX(Galerias!$O$2:$O$37,MATCH(B$2,Galerias!$A$2:$A$37,0))^($A52-1),0))</f>
        <v/>
      </c>
      <c r="C52" s="43">
        <f>IF(AND(INDEX(Galerias!$M$2:$M$37,MATCH(C$2,Galerias!$A$2:$A$37,0))&lt;&gt;"",$A52&gt;INDEX(Galerias!$M$2:$M$37,MATCH(C$2,Galerias!$A$2:$A$37,0))),"",ROUND(INDEX(Galerias!$N$2:$N$37,MATCH(C$2,Galerias!$A$2:$A$37,0))*INDEX(Galerias!$O$2:$O$37,MATCH(C$2,Galerias!$A$2:$A$37,0))^($A52-1),0))</f>
        <v/>
      </c>
      <c r="D52" s="43">
        <f>IF(AND(INDEX(Galerias!$M$2:$M$37,MATCH(D$2,Galerias!$A$2:$A$37,0))&lt;&gt;"",$A52&gt;INDEX(Galerias!$M$2:$M$37,MATCH(D$2,Galerias!$A$2:$A$37,0))),"",ROUND(INDEX(Galerias!$N$2:$N$37,MATCH(D$2,Galerias!$A$2:$A$37,0))*INDEX(Galerias!$O$2:$O$37,MATCH(D$2,Galerias!$A$2:$A$37,0))^($A52-1),0))</f>
        <v/>
      </c>
      <c r="E52" s="43">
        <f>IF(AND(INDEX(Galerias!$M$2:$M$37,MATCH(E$2,Galerias!$A$2:$A$37,0))&lt;&gt;"",$A52&gt;INDEX(Galerias!$M$2:$M$37,MATCH(E$2,Galerias!$A$2:$A$37,0))),"",ROUND(INDEX(Galerias!$N$2:$N$37,MATCH(E$2,Galerias!$A$2:$A$37,0))*INDEX(Galerias!$O$2:$O$37,MATCH(E$2,Galerias!$A$2:$A$37,0))^($A52-1),0))</f>
        <v/>
      </c>
      <c r="F52" s="43">
        <f>IF(AND(INDEX(Galerias!$M$2:$M$37,MATCH(F$2,Galerias!$A$2:$A$37,0))&lt;&gt;"",$A52&gt;INDEX(Galerias!$M$2:$M$37,MATCH(F$2,Galerias!$A$2:$A$37,0))),"",ROUND(INDEX(Galerias!$N$2:$N$37,MATCH(F$2,Galerias!$A$2:$A$37,0))*INDEX(Galerias!$O$2:$O$37,MATCH(F$2,Galerias!$A$2:$A$37,0))^($A52-1),0))</f>
        <v/>
      </c>
      <c r="G52" s="43">
        <f>IF(AND(INDEX(Galerias!$M$2:$M$37,MATCH(G$2,Galerias!$A$2:$A$37,0))&lt;&gt;"",$A52&gt;INDEX(Galerias!$M$2:$M$37,MATCH(G$2,Galerias!$A$2:$A$37,0))),"",ROUND(INDEX(Galerias!$N$2:$N$37,MATCH(G$2,Galerias!$A$2:$A$37,0))*INDEX(Galerias!$O$2:$O$37,MATCH(G$2,Galerias!$A$2:$A$37,0))^($A52-1),0))</f>
        <v/>
      </c>
      <c r="H52" s="43">
        <f>IF(AND(INDEX(Galerias!$M$2:$M$37,MATCH(H$2,Galerias!$A$2:$A$37,0))&lt;&gt;"",$A52&gt;INDEX(Galerias!$M$2:$M$37,MATCH(H$2,Galerias!$A$2:$A$37,0))),"",ROUND(INDEX(Galerias!$N$2:$N$37,MATCH(H$2,Galerias!$A$2:$A$37,0))*INDEX(Galerias!$O$2:$O$37,MATCH(H$2,Galerias!$A$2:$A$37,0))^($A52-1),0))</f>
        <v/>
      </c>
      <c r="I52" s="43">
        <f>IF(AND(INDEX(Galerias!$M$2:$M$37,MATCH(I$2,Galerias!$A$2:$A$37,0))&lt;&gt;"",$A52&gt;INDEX(Galerias!$M$2:$M$37,MATCH(I$2,Galerias!$A$2:$A$37,0))),"",ROUND(INDEX(Galerias!$N$2:$N$37,MATCH(I$2,Galerias!$A$2:$A$37,0))*INDEX(Galerias!$O$2:$O$37,MATCH(I$2,Galerias!$A$2:$A$37,0))^($A52-1),0))</f>
        <v/>
      </c>
      <c r="J52" s="43">
        <f>IF(AND(INDEX(Galerias!$M$2:$M$37,MATCH(J$2,Galerias!$A$2:$A$37,0))&lt;&gt;"",$A52&gt;INDEX(Galerias!$M$2:$M$37,MATCH(J$2,Galerias!$A$2:$A$37,0))),"",ROUND(INDEX(Galerias!$N$2:$N$37,MATCH(J$2,Galerias!$A$2:$A$37,0))*INDEX(Galerias!$O$2:$O$37,MATCH(J$2,Galerias!$A$2:$A$37,0))^($A52-1),0))</f>
        <v/>
      </c>
      <c r="K52" s="43">
        <f>IF(AND(INDEX(Galerias!$M$2:$M$37,MATCH(K$2,Galerias!$A$2:$A$37,0))&lt;&gt;"",$A52&gt;INDEX(Galerias!$M$2:$M$37,MATCH(K$2,Galerias!$A$2:$A$37,0))),"",ROUND(INDEX(Galerias!$N$2:$N$37,MATCH(K$2,Galerias!$A$2:$A$37,0))*INDEX(Galerias!$O$2:$O$37,MATCH(K$2,Galerias!$A$2:$A$37,0))^($A52-1),0))</f>
        <v/>
      </c>
      <c r="L52" s="43">
        <f>IF(AND(INDEX(Galerias!$M$2:$M$37,MATCH(L$2,Galerias!$A$2:$A$37,0))&lt;&gt;"",$A52&gt;INDEX(Galerias!$M$2:$M$37,MATCH(L$2,Galerias!$A$2:$A$37,0))),"",ROUND(INDEX(Galerias!$N$2:$N$37,MATCH(L$2,Galerias!$A$2:$A$37,0))*INDEX(Galerias!$O$2:$O$37,MATCH(L$2,Galerias!$A$2:$A$37,0))^($A52-1),0))</f>
        <v/>
      </c>
      <c r="M52" s="43">
        <f>IF(AND(INDEX(Galerias!$M$2:$M$37,MATCH(M$2,Galerias!$A$2:$A$37,0))&lt;&gt;"",$A52&gt;INDEX(Galerias!$M$2:$M$37,MATCH(M$2,Galerias!$A$2:$A$37,0))),"",ROUND(INDEX(Galerias!$N$2:$N$37,MATCH(M$2,Galerias!$A$2:$A$37,0))*INDEX(Galerias!$O$2:$O$37,MATCH(M$2,Galerias!$A$2:$A$37,0))^($A52-1),0))</f>
        <v/>
      </c>
      <c r="N52" s="43">
        <f>IF(AND(INDEX(Galerias!$M$2:$M$37,MATCH(N$2,Galerias!$A$2:$A$37,0))&lt;&gt;"",$A52&gt;INDEX(Galerias!$M$2:$M$37,MATCH(N$2,Galerias!$A$2:$A$37,0))),"",ROUND(INDEX(Galerias!$N$2:$N$37,MATCH(N$2,Galerias!$A$2:$A$37,0))*INDEX(Galerias!$O$2:$O$37,MATCH(N$2,Galerias!$A$2:$A$37,0))^($A52-1),0))</f>
        <v/>
      </c>
      <c r="O52" s="43">
        <f>IF(AND(INDEX(Galerias!$M$2:$M$37,MATCH(O$2,Galerias!$A$2:$A$37,0))&lt;&gt;"",$A52&gt;INDEX(Galerias!$M$2:$M$37,MATCH(O$2,Galerias!$A$2:$A$37,0))),"",ROUND(INDEX(Galerias!$N$2:$N$37,MATCH(O$2,Galerias!$A$2:$A$37,0))*INDEX(Galerias!$O$2:$O$37,MATCH(O$2,Galerias!$A$2:$A$37,0))^($A52-1),0))</f>
        <v/>
      </c>
      <c r="P52" s="43">
        <f>IF(AND(INDEX(Galerias!$M$2:$M$37,MATCH(P$2,Galerias!$A$2:$A$37,0))&lt;&gt;"",$A52&gt;INDEX(Galerias!$M$2:$M$37,MATCH(P$2,Galerias!$A$2:$A$37,0))),"",ROUND(INDEX(Galerias!$N$2:$N$37,MATCH(P$2,Galerias!$A$2:$A$37,0))*INDEX(Galerias!$O$2:$O$37,MATCH(P$2,Galerias!$A$2:$A$37,0))^($A52-1),0))</f>
        <v/>
      </c>
      <c r="Q52" s="43">
        <f>IF(AND(INDEX(Galerias!$M$2:$M$37,MATCH(Q$2,Galerias!$A$2:$A$37,0))&lt;&gt;"",$A52&gt;INDEX(Galerias!$M$2:$M$37,MATCH(Q$2,Galerias!$A$2:$A$37,0))),"",ROUND(INDEX(Galerias!$N$2:$N$37,MATCH(Q$2,Galerias!$A$2:$A$37,0))*INDEX(Galerias!$O$2:$O$37,MATCH(Q$2,Galerias!$A$2:$A$37,0))^($A52-1),0))</f>
        <v/>
      </c>
      <c r="R52" s="43">
        <f>IF(AND(INDEX(Galerias!$M$2:$M$37,MATCH(R$2,Galerias!$A$2:$A$37,0))&lt;&gt;"",$A52&gt;INDEX(Galerias!$M$2:$M$37,MATCH(R$2,Galerias!$A$2:$A$37,0))),"",ROUND(INDEX(Galerias!$N$2:$N$37,MATCH(R$2,Galerias!$A$2:$A$37,0))*INDEX(Galerias!$O$2:$O$37,MATCH(R$2,Galerias!$A$2:$A$37,0))^($A52-1),0))</f>
        <v/>
      </c>
      <c r="S52" s="43">
        <f>IF(AND(INDEX(Galerias!$M$2:$M$37,MATCH(S$2,Galerias!$A$2:$A$37,0))&lt;&gt;"",$A52&gt;INDEX(Galerias!$M$2:$M$37,MATCH(S$2,Galerias!$A$2:$A$37,0))),"",ROUND(INDEX(Galerias!$N$2:$N$37,MATCH(S$2,Galerias!$A$2:$A$37,0))*INDEX(Galerias!$O$2:$O$37,MATCH(S$2,Galerias!$A$2:$A$37,0))^($A52-1),0))</f>
        <v/>
      </c>
      <c r="T52" s="43">
        <f>IF(AND(INDEX(Galerias!$M$2:$M$37,MATCH(T$2,Galerias!$A$2:$A$37,0))&lt;&gt;"",$A52&gt;INDEX(Galerias!$M$2:$M$37,MATCH(T$2,Galerias!$A$2:$A$37,0))),"",ROUND(INDEX(Galerias!$N$2:$N$37,MATCH(T$2,Galerias!$A$2:$A$37,0))*INDEX(Galerias!$O$2:$O$37,MATCH(T$2,Galerias!$A$2:$A$37,0))^($A52-1),0))</f>
        <v/>
      </c>
      <c r="U52" s="43">
        <f>IF(AND(INDEX(Galerias!$M$2:$M$37,MATCH(U$2,Galerias!$A$2:$A$37,0))&lt;&gt;"",$A52&gt;INDEX(Galerias!$M$2:$M$37,MATCH(U$2,Galerias!$A$2:$A$37,0))),"",ROUND(INDEX(Galerias!$N$2:$N$37,MATCH(U$2,Galerias!$A$2:$A$37,0))*INDEX(Galerias!$O$2:$O$37,MATCH(U$2,Galerias!$A$2:$A$37,0))^($A52-1),0))</f>
        <v/>
      </c>
      <c r="V52" s="43">
        <f>IF(AND(INDEX(Galerias!$M$2:$M$37,MATCH(V$2,Galerias!$A$2:$A$37,0))&lt;&gt;"",$A52&gt;INDEX(Galerias!$M$2:$M$37,MATCH(V$2,Galerias!$A$2:$A$37,0))),"",ROUND(INDEX(Galerias!$N$2:$N$37,MATCH(V$2,Galerias!$A$2:$A$37,0))*INDEX(Galerias!$O$2:$O$37,MATCH(V$2,Galerias!$A$2:$A$37,0))^($A52-1),0))</f>
        <v/>
      </c>
      <c r="W52" s="43">
        <f>IF(AND(INDEX(Galerias!$M$2:$M$37,MATCH(W$2,Galerias!$A$2:$A$37,0))&lt;&gt;"",$A52&gt;INDEX(Galerias!$M$2:$M$37,MATCH(W$2,Galerias!$A$2:$A$37,0))),"",ROUND(INDEX(Galerias!$N$2:$N$37,MATCH(W$2,Galerias!$A$2:$A$37,0))*INDEX(Galerias!$O$2:$O$37,MATCH(W$2,Galerias!$A$2:$A$37,0))^($A52-1),0))</f>
        <v/>
      </c>
      <c r="X52" s="43">
        <f>IF(AND(INDEX(Galerias!$M$2:$M$37,MATCH(X$2,Galerias!$A$2:$A$37,0))&lt;&gt;"",$A52&gt;INDEX(Galerias!$M$2:$M$37,MATCH(X$2,Galerias!$A$2:$A$37,0))),"",ROUND(INDEX(Galerias!$N$2:$N$37,MATCH(X$2,Galerias!$A$2:$A$37,0))*INDEX(Galerias!$O$2:$O$37,MATCH(X$2,Galerias!$A$2:$A$37,0))^($A52-1),0))</f>
        <v/>
      </c>
      <c r="Y52" s="43">
        <f>IF(AND(INDEX(Galerias!$M$2:$M$37,MATCH(Y$2,Galerias!$A$2:$A$37,0))&lt;&gt;"",$A52&gt;INDEX(Galerias!$M$2:$M$37,MATCH(Y$2,Galerias!$A$2:$A$37,0))),"",ROUND(INDEX(Galerias!$N$2:$N$37,MATCH(Y$2,Galerias!$A$2:$A$37,0))*INDEX(Galerias!$O$2:$O$37,MATCH(Y$2,Galerias!$A$2:$A$37,0))^($A52-1),0))</f>
        <v/>
      </c>
      <c r="Z52" s="43">
        <f>IF(AND(INDEX(Galerias!$M$2:$M$37,MATCH(Z$2,Galerias!$A$2:$A$37,0))&lt;&gt;"",$A52&gt;INDEX(Galerias!$M$2:$M$37,MATCH(Z$2,Galerias!$A$2:$A$37,0))),"",ROUND(INDEX(Galerias!$N$2:$N$37,MATCH(Z$2,Galerias!$A$2:$A$37,0))*INDEX(Galerias!$O$2:$O$37,MATCH(Z$2,Galerias!$A$2:$A$37,0))^($A52-1),0))</f>
        <v/>
      </c>
      <c r="AA52" s="43">
        <f>IF(AND(INDEX(Galerias!$M$2:$M$37,MATCH(AA$2,Galerias!$A$2:$A$37,0))&lt;&gt;"",$A52&gt;INDEX(Galerias!$M$2:$M$37,MATCH(AA$2,Galerias!$A$2:$A$37,0))),"",ROUND(INDEX(Galerias!$N$2:$N$37,MATCH(AA$2,Galerias!$A$2:$A$37,0))*INDEX(Galerias!$O$2:$O$37,MATCH(AA$2,Galerias!$A$2:$A$37,0))^($A52-1),0))</f>
        <v/>
      </c>
      <c r="AB52" s="43">
        <f>IF(AND(INDEX(Galerias!$M$2:$M$37,MATCH(AB$2,Galerias!$A$2:$A$37,0))&lt;&gt;"",$A52&gt;INDEX(Galerias!$M$2:$M$37,MATCH(AB$2,Galerias!$A$2:$A$37,0))),"",ROUND(INDEX(Galerias!$N$2:$N$37,MATCH(AB$2,Galerias!$A$2:$A$37,0))*INDEX(Galerias!$O$2:$O$37,MATCH(AB$2,Galerias!$A$2:$A$37,0))^($A52-1),0))</f>
        <v/>
      </c>
      <c r="AC52" s="43">
        <f>IF(AND(INDEX(Galerias!$M$2:$M$37,MATCH(AC$2,Galerias!$A$2:$A$37,0))&lt;&gt;"",$A52&gt;INDEX(Galerias!$M$2:$M$37,MATCH(AC$2,Galerias!$A$2:$A$37,0))),"",ROUND(INDEX(Galerias!$N$2:$N$37,MATCH(AC$2,Galerias!$A$2:$A$37,0))*INDEX(Galerias!$O$2:$O$37,MATCH(AC$2,Galerias!$A$2:$A$37,0))^($A52-1),0))</f>
        <v/>
      </c>
      <c r="AD52" s="43">
        <f>IF(AND(INDEX(Galerias!$M$2:$M$37,MATCH(AD$2,Galerias!$A$2:$A$37,0))&lt;&gt;"",$A52&gt;INDEX(Galerias!$M$2:$M$37,MATCH(AD$2,Galerias!$A$2:$A$37,0))),"",ROUND(INDEX(Galerias!$N$2:$N$37,MATCH(AD$2,Galerias!$A$2:$A$37,0))*INDEX(Galerias!$O$2:$O$37,MATCH(AD$2,Galerias!$A$2:$A$37,0))^($A52-1),0))</f>
        <v/>
      </c>
      <c r="AE52" s="43">
        <f>IF(AND(INDEX(Galerias!$M$2:$M$37,MATCH(AE$2,Galerias!$A$2:$A$37,0))&lt;&gt;"",$A52&gt;INDEX(Galerias!$M$2:$M$37,MATCH(AE$2,Galerias!$A$2:$A$37,0))),"",ROUND(INDEX(Galerias!$N$2:$N$37,MATCH(AE$2,Galerias!$A$2:$A$37,0))*INDEX(Galerias!$O$2:$O$37,MATCH(AE$2,Galerias!$A$2:$A$37,0))^($A52-1),0))</f>
        <v/>
      </c>
      <c r="AF52" s="43">
        <f>IF(AND(INDEX(Galerias!$M$2:$M$37,MATCH(AF$2,Galerias!$A$2:$A$37,0))&lt;&gt;"",$A52&gt;INDEX(Galerias!$M$2:$M$37,MATCH(AF$2,Galerias!$A$2:$A$37,0))),"",ROUND(INDEX(Galerias!$N$2:$N$37,MATCH(AF$2,Galerias!$A$2:$A$37,0))*INDEX(Galerias!$O$2:$O$37,MATCH(AF$2,Galerias!$A$2:$A$37,0))^($A52-1),0))</f>
        <v/>
      </c>
      <c r="AG52" s="43">
        <f>IF(AND(INDEX(Galerias!$M$2:$M$37,MATCH(AG$2,Galerias!$A$2:$A$37,0))&lt;&gt;"",$A52&gt;INDEX(Galerias!$M$2:$M$37,MATCH(AG$2,Galerias!$A$2:$A$37,0))),"",ROUND(INDEX(Galerias!$N$2:$N$37,MATCH(AG$2,Galerias!$A$2:$A$37,0))*INDEX(Galerias!$O$2:$O$37,MATCH(AG$2,Galerias!$A$2:$A$37,0))^($A52-1),0))</f>
        <v/>
      </c>
      <c r="AH52" s="43">
        <f>IF(AND(INDEX(Galerias!$M$2:$M$37,MATCH(AH$2,Galerias!$A$2:$A$37,0))&lt;&gt;"",$A52&gt;INDEX(Galerias!$M$2:$M$37,MATCH(AH$2,Galerias!$A$2:$A$37,0))),"",ROUND(INDEX(Galerias!$N$2:$N$37,MATCH(AH$2,Galerias!$A$2:$A$37,0))*INDEX(Galerias!$O$2:$O$37,MATCH(AH$2,Galerias!$A$2:$A$37,0))^($A52-1),0))</f>
        <v/>
      </c>
      <c r="AI52" s="43">
        <f>IF(AND(INDEX(Galerias!$M$2:$M$37,MATCH(AI$2,Galerias!$A$2:$A$37,0))&lt;&gt;"",$A52&gt;INDEX(Galerias!$M$2:$M$37,MATCH(AI$2,Galerias!$A$2:$A$37,0))),"",ROUND(INDEX(Galerias!$N$2:$N$37,MATCH(AI$2,Galerias!$A$2:$A$37,0))*INDEX(Galerias!$O$2:$O$37,MATCH(AI$2,Galerias!$A$2:$A$37,0))^($A52-1),0))</f>
        <v/>
      </c>
      <c r="AJ52" s="43">
        <f>IF(AND(INDEX(Galerias!$M$2:$M$37,MATCH(AJ$2,Galerias!$A$2:$A$37,0))&lt;&gt;"",$A52&gt;INDEX(Galerias!$M$2:$M$37,MATCH(AJ$2,Galerias!$A$2:$A$37,0))),"",ROUND(INDEX(Galerias!$N$2:$N$37,MATCH(AJ$2,Galerias!$A$2:$A$37,0))*INDEX(Galerias!$O$2:$O$37,MATCH(AJ$2,Galerias!$A$2:$A$37,0))^($A52-1),0))</f>
        <v/>
      </c>
      <c r="AK52" s="43">
        <f>IF(AND(INDEX(Galerias!$M$2:$M$37,MATCH(AK$2,Galerias!$A$2:$A$37,0))&lt;&gt;"",$A52&gt;INDEX(Galerias!$M$2:$M$37,MATCH(AK$2,Galerias!$A$2:$A$37,0))),"",ROUND(INDEX(Galerias!$N$2:$N$37,MATCH(AK$2,Galerias!$A$2:$A$37,0))*INDEX(Galerias!$O$2:$O$37,MATCH(AK$2,Galerias!$A$2:$A$37,0))^($A52-1),0))</f>
        <v/>
      </c>
    </row>
  </sheetData>
  <printOptions horizontalCentered="0" verticalCentered="0" headings="0" gridLines="0" gridLinesSet="1"/>
  <pageMargins left="0.75" right="0.75" top="1" bottom="1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K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875" defaultRowHeight="15" zeroHeight="0" outlineLevelRow="0"/>
  <cols>
    <col width="8" customWidth="1" style="22" min="1" max="1"/>
    <col width="9" customWidth="1" style="22" min="2" max="37"/>
  </cols>
  <sheetData>
    <row r="1" ht="15" customHeight="1" s="23">
      <c r="A1" s="26" t="inlineStr">
        <is>
          <t>Custo (N) acumulado até o nível</t>
        </is>
      </c>
    </row>
    <row r="2" ht="15" customHeight="1" s="23">
      <c r="A2" s="42" t="inlineStr">
        <is>
          <t>Nível</t>
        </is>
      </c>
      <c r="B2" s="42" t="inlineStr">
        <is>
          <t>H+1</t>
        </is>
      </c>
      <c r="C2" s="42" t="inlineStr">
        <is>
          <t>C+1</t>
        </is>
      </c>
      <c r="D2" s="42" t="inlineStr">
        <is>
          <t>C+2</t>
        </is>
      </c>
      <c r="E2" s="42" t="inlineStr">
        <is>
          <t>C+3</t>
        </is>
      </c>
      <c r="F2" s="42" t="inlineStr">
        <is>
          <t>B+1</t>
        </is>
      </c>
      <c r="G2" s="42" t="inlineStr">
        <is>
          <t>B+2</t>
        </is>
      </c>
      <c r="H2" s="42" t="inlineStr">
        <is>
          <t>D+1</t>
        </is>
      </c>
      <c r="I2" s="42" t="inlineStr">
        <is>
          <t>D+2</t>
        </is>
      </c>
      <c r="J2" s="42" t="inlineStr">
        <is>
          <t>G+1</t>
        </is>
      </c>
      <c r="K2" s="42" t="inlineStr">
        <is>
          <t>G+2</t>
        </is>
      </c>
      <c r="L2" s="42" t="inlineStr">
        <is>
          <t>T+1</t>
        </is>
      </c>
      <c r="M2" s="42" t="inlineStr">
        <is>
          <t>T+2</t>
        </is>
      </c>
      <c r="N2" s="42" t="inlineStr">
        <is>
          <t>X+1</t>
        </is>
      </c>
      <c r="O2" s="42" t="inlineStr">
        <is>
          <t>X+2</t>
        </is>
      </c>
      <c r="P2" s="42" t="inlineStr">
        <is>
          <t>X+3</t>
        </is>
      </c>
      <c r="Q2" s="42" t="inlineStr">
        <is>
          <t>M+1</t>
        </is>
      </c>
      <c r="R2" s="42" t="inlineStr">
        <is>
          <t>M+2</t>
        </is>
      </c>
      <c r="S2" s="42" t="inlineStr">
        <is>
          <t>Q+1</t>
        </is>
      </c>
      <c r="T2" s="42" t="inlineStr">
        <is>
          <t>Q+2</t>
        </is>
      </c>
      <c r="U2" s="42" t="inlineStr">
        <is>
          <t>Q+3</t>
        </is>
      </c>
      <c r="V2" s="42" t="inlineStr">
        <is>
          <t>O+1</t>
        </is>
      </c>
      <c r="W2" s="42" t="inlineStr">
        <is>
          <t>O+2</t>
        </is>
      </c>
      <c r="X2" s="42" t="inlineStr">
        <is>
          <t>O+3</t>
        </is>
      </c>
      <c r="Y2" s="42" t="inlineStr">
        <is>
          <t>L+1</t>
        </is>
      </c>
      <c r="Z2" s="42" t="inlineStr">
        <is>
          <t>L+2</t>
        </is>
      </c>
      <c r="AA2" s="42" t="inlineStr">
        <is>
          <t>F+1</t>
        </is>
      </c>
      <c r="AB2" s="42" t="inlineStr">
        <is>
          <t>E+1</t>
        </is>
      </c>
      <c r="AC2" s="42" t="inlineStr">
        <is>
          <t>E+2</t>
        </is>
      </c>
      <c r="AD2" s="42" t="inlineStr">
        <is>
          <t>E+3</t>
        </is>
      </c>
      <c r="AE2" s="42" t="inlineStr">
        <is>
          <t>J+1</t>
        </is>
      </c>
      <c r="AF2" s="42" t="inlineStr">
        <is>
          <t>J+2</t>
        </is>
      </c>
      <c r="AG2" s="42" t="inlineStr">
        <is>
          <t>N+1</t>
        </is>
      </c>
      <c r="AH2" s="42" t="inlineStr">
        <is>
          <t>N+2</t>
        </is>
      </c>
      <c r="AI2" s="42" t="inlineStr">
        <is>
          <t>S+1</t>
        </is>
      </c>
      <c r="AJ2" s="42" t="inlineStr">
        <is>
          <t>S+2</t>
        </is>
      </c>
      <c r="AK2" s="42" t="inlineStr">
        <is>
          <t>S+3</t>
        </is>
      </c>
    </row>
    <row r="3" ht="15" customHeight="1" s="23">
      <c r="A3" s="25" t="n">
        <v>1</v>
      </c>
      <c r="B3" s="43">
        <f>IF(Curva!B3="","",SUM(Curva!B$3:B3))</f>
        <v/>
      </c>
      <c r="C3" s="43">
        <f>IF(Curva!C3="","",SUM(Curva!C$3:C3))</f>
        <v/>
      </c>
      <c r="D3" s="43">
        <f>IF(Curva!D3="","",SUM(Curva!D$3:D3))</f>
        <v/>
      </c>
      <c r="E3" s="43">
        <f>IF(Curva!E3="","",SUM(Curva!E$3:E3))</f>
        <v/>
      </c>
      <c r="F3" s="43">
        <f>IF(Curva!F3="","",SUM(Curva!F$3:F3))</f>
        <v/>
      </c>
      <c r="G3" s="43">
        <f>IF(Curva!G3="","",SUM(Curva!G$3:G3))</f>
        <v/>
      </c>
      <c r="H3" s="43">
        <f>IF(Curva!H3="","",SUM(Curva!H$3:H3))</f>
        <v/>
      </c>
      <c r="I3" s="43">
        <f>IF(Curva!I3="","",SUM(Curva!I$3:I3))</f>
        <v/>
      </c>
      <c r="J3" s="43">
        <f>IF(Curva!J3="","",SUM(Curva!J$3:J3))</f>
        <v/>
      </c>
      <c r="K3" s="43">
        <f>IF(Curva!K3="","",SUM(Curva!K$3:K3))</f>
        <v/>
      </c>
      <c r="L3" s="43">
        <f>IF(Curva!L3="","",SUM(Curva!L$3:L3))</f>
        <v/>
      </c>
      <c r="M3" s="43">
        <f>IF(Curva!M3="","",SUM(Curva!M$3:M3))</f>
        <v/>
      </c>
      <c r="N3" s="43">
        <f>IF(Curva!N3="","",SUM(Curva!N$3:N3))</f>
        <v/>
      </c>
      <c r="O3" s="43">
        <f>IF(Curva!O3="","",SUM(Curva!O$3:O3))</f>
        <v/>
      </c>
      <c r="P3" s="43">
        <f>IF(Curva!P3="","",SUM(Curva!P$3:P3))</f>
        <v/>
      </c>
      <c r="Q3" s="43">
        <f>IF(Curva!Q3="","",SUM(Curva!Q$3:Q3))</f>
        <v/>
      </c>
      <c r="R3" s="43">
        <f>IF(Curva!R3="","",SUM(Curva!R$3:R3))</f>
        <v/>
      </c>
      <c r="S3" s="43">
        <f>IF(Curva!S3="","",SUM(Curva!S$3:S3))</f>
        <v/>
      </c>
      <c r="T3" s="43">
        <f>IF(Curva!T3="","",SUM(Curva!T$3:T3))</f>
        <v/>
      </c>
      <c r="U3" s="43">
        <f>IF(Curva!U3="","",SUM(Curva!U$3:U3))</f>
        <v/>
      </c>
      <c r="V3" s="43">
        <f>IF(Curva!V3="","",SUM(Curva!V$3:V3))</f>
        <v/>
      </c>
      <c r="W3" s="43">
        <f>IF(Curva!W3="","",SUM(Curva!W$3:W3))</f>
        <v/>
      </c>
      <c r="X3" s="43">
        <f>IF(Curva!X3="","",SUM(Curva!X$3:X3))</f>
        <v/>
      </c>
      <c r="Y3" s="43">
        <f>IF(Curva!Y3="","",SUM(Curva!Y$3:Y3))</f>
        <v/>
      </c>
      <c r="Z3" s="43">
        <f>IF(Curva!Z3="","",SUM(Curva!Z$3:Z3))</f>
        <v/>
      </c>
      <c r="AA3" s="43">
        <f>IF(Curva!AA3="","",SUM(Curva!AA$3:AA3))</f>
        <v/>
      </c>
      <c r="AB3" s="43">
        <f>IF(Curva!AB3="","",SUM(Curva!AB$3:AB3))</f>
        <v/>
      </c>
      <c r="AC3" s="43">
        <f>IF(Curva!AC3="","",SUM(Curva!AC$3:AC3))</f>
        <v/>
      </c>
      <c r="AD3" s="43">
        <f>IF(Curva!AD3="","",SUM(Curva!AD$3:AD3))</f>
        <v/>
      </c>
      <c r="AE3" s="43">
        <f>IF(Curva!AE3="","",SUM(Curva!AE$3:AE3))</f>
        <v/>
      </c>
      <c r="AF3" s="43">
        <f>IF(Curva!AF3="","",SUM(Curva!AF$3:AF3))</f>
        <v/>
      </c>
      <c r="AG3" s="43">
        <f>IF(Curva!AG3="","",SUM(Curva!AG$3:AG3))</f>
        <v/>
      </c>
      <c r="AH3" s="43">
        <f>IF(Curva!AH3="","",SUM(Curva!AH$3:AH3))</f>
        <v/>
      </c>
      <c r="AI3" s="43">
        <f>IF(Curva!AI3="","",SUM(Curva!AI$3:AI3))</f>
        <v/>
      </c>
      <c r="AJ3" s="43">
        <f>IF(Curva!AJ3="","",SUM(Curva!AJ$3:AJ3))</f>
        <v/>
      </c>
      <c r="AK3" s="43">
        <f>IF(Curva!AK3="","",SUM(Curva!AK$3:AK3))</f>
        <v/>
      </c>
    </row>
    <row r="4" ht="15" customHeight="1" s="23">
      <c r="A4" s="25" t="n">
        <v>2</v>
      </c>
      <c r="B4" s="43">
        <f>IF(Curva!B4="","",SUM(Curva!B$3:B4))</f>
        <v/>
      </c>
      <c r="C4" s="43">
        <f>IF(Curva!C4="","",SUM(Curva!C$3:C4))</f>
        <v/>
      </c>
      <c r="D4" s="43">
        <f>IF(Curva!D4="","",SUM(Curva!D$3:D4))</f>
        <v/>
      </c>
      <c r="E4" s="43">
        <f>IF(Curva!E4="","",SUM(Curva!E$3:E4))</f>
        <v/>
      </c>
      <c r="F4" s="43">
        <f>IF(Curva!F4="","",SUM(Curva!F$3:F4))</f>
        <v/>
      </c>
      <c r="G4" s="43">
        <f>IF(Curva!G4="","",SUM(Curva!G$3:G4))</f>
        <v/>
      </c>
      <c r="H4" s="43">
        <f>IF(Curva!H4="","",SUM(Curva!H$3:H4))</f>
        <v/>
      </c>
      <c r="I4" s="43">
        <f>IF(Curva!I4="","",SUM(Curva!I$3:I4))</f>
        <v/>
      </c>
      <c r="J4" s="43">
        <f>IF(Curva!J4="","",SUM(Curva!J$3:J4))</f>
        <v/>
      </c>
      <c r="K4" s="43">
        <f>IF(Curva!K4="","",SUM(Curva!K$3:K4))</f>
        <v/>
      </c>
      <c r="L4" s="43">
        <f>IF(Curva!L4="","",SUM(Curva!L$3:L4))</f>
        <v/>
      </c>
      <c r="M4" s="43">
        <f>IF(Curva!M4="","",SUM(Curva!M$3:M4))</f>
        <v/>
      </c>
      <c r="N4" s="43">
        <f>IF(Curva!N4="","",SUM(Curva!N$3:N4))</f>
        <v/>
      </c>
      <c r="O4" s="43">
        <f>IF(Curva!O4="","",SUM(Curva!O$3:O4))</f>
        <v/>
      </c>
      <c r="P4" s="43">
        <f>IF(Curva!P4="","",SUM(Curva!P$3:P4))</f>
        <v/>
      </c>
      <c r="Q4" s="43">
        <f>IF(Curva!Q4="","",SUM(Curva!Q$3:Q4))</f>
        <v/>
      </c>
      <c r="R4" s="43">
        <f>IF(Curva!R4="","",SUM(Curva!R$3:R4))</f>
        <v/>
      </c>
      <c r="S4" s="43">
        <f>IF(Curva!S4="","",SUM(Curva!S$3:S4))</f>
        <v/>
      </c>
      <c r="T4" s="43">
        <f>IF(Curva!T4="","",SUM(Curva!T$3:T4))</f>
        <v/>
      </c>
      <c r="U4" s="43">
        <f>IF(Curva!U4="","",SUM(Curva!U$3:U4))</f>
        <v/>
      </c>
      <c r="V4" s="43">
        <f>IF(Curva!V4="","",SUM(Curva!V$3:V4))</f>
        <v/>
      </c>
      <c r="W4" s="43">
        <f>IF(Curva!W4="","",SUM(Curva!W$3:W4))</f>
        <v/>
      </c>
      <c r="X4" s="43">
        <f>IF(Curva!X4="","",SUM(Curva!X$3:X4))</f>
        <v/>
      </c>
      <c r="Y4" s="43">
        <f>IF(Curva!Y4="","",SUM(Curva!Y$3:Y4))</f>
        <v/>
      </c>
      <c r="Z4" s="43">
        <f>IF(Curva!Z4="","",SUM(Curva!Z$3:Z4))</f>
        <v/>
      </c>
      <c r="AA4" s="43">
        <f>IF(Curva!AA4="","",SUM(Curva!AA$3:AA4))</f>
        <v/>
      </c>
      <c r="AB4" s="43">
        <f>IF(Curva!AB4="","",SUM(Curva!AB$3:AB4))</f>
        <v/>
      </c>
      <c r="AC4" s="43">
        <f>IF(Curva!AC4="","",SUM(Curva!AC$3:AC4))</f>
        <v/>
      </c>
      <c r="AD4" s="43">
        <f>IF(Curva!AD4="","",SUM(Curva!AD$3:AD4))</f>
        <v/>
      </c>
      <c r="AE4" s="43">
        <f>IF(Curva!AE4="","",SUM(Curva!AE$3:AE4))</f>
        <v/>
      </c>
      <c r="AF4" s="43">
        <f>IF(Curva!AF4="","",SUM(Curva!AF$3:AF4))</f>
        <v/>
      </c>
      <c r="AG4" s="43">
        <f>IF(Curva!AG4="","",SUM(Curva!AG$3:AG4))</f>
        <v/>
      </c>
      <c r="AH4" s="43">
        <f>IF(Curva!AH4="","",SUM(Curva!AH$3:AH4))</f>
        <v/>
      </c>
      <c r="AI4" s="43">
        <f>IF(Curva!AI4="","",SUM(Curva!AI$3:AI4))</f>
        <v/>
      </c>
      <c r="AJ4" s="43">
        <f>IF(Curva!AJ4="","",SUM(Curva!AJ$3:AJ4))</f>
        <v/>
      </c>
      <c r="AK4" s="43">
        <f>IF(Curva!AK4="","",SUM(Curva!AK$3:AK4))</f>
        <v/>
      </c>
    </row>
    <row r="5" ht="15" customHeight="1" s="23">
      <c r="A5" s="25" t="n">
        <v>3</v>
      </c>
      <c r="B5" s="43">
        <f>IF(Curva!B5="","",SUM(Curva!B$3:B5))</f>
        <v/>
      </c>
      <c r="C5" s="43">
        <f>IF(Curva!C5="","",SUM(Curva!C$3:C5))</f>
        <v/>
      </c>
      <c r="D5" s="43">
        <f>IF(Curva!D5="","",SUM(Curva!D$3:D5))</f>
        <v/>
      </c>
      <c r="E5" s="43">
        <f>IF(Curva!E5="","",SUM(Curva!E$3:E5))</f>
        <v/>
      </c>
      <c r="F5" s="43">
        <f>IF(Curva!F5="","",SUM(Curva!F$3:F5))</f>
        <v/>
      </c>
      <c r="G5" s="43">
        <f>IF(Curva!G5="","",SUM(Curva!G$3:G5))</f>
        <v/>
      </c>
      <c r="H5" s="43">
        <f>IF(Curva!H5="","",SUM(Curva!H$3:H5))</f>
        <v/>
      </c>
      <c r="I5" s="43">
        <f>IF(Curva!I5="","",SUM(Curva!I$3:I5))</f>
        <v/>
      </c>
      <c r="J5" s="43">
        <f>IF(Curva!J5="","",SUM(Curva!J$3:J5))</f>
        <v/>
      </c>
      <c r="K5" s="43">
        <f>IF(Curva!K5="","",SUM(Curva!K$3:K5))</f>
        <v/>
      </c>
      <c r="L5" s="43">
        <f>IF(Curva!L5="","",SUM(Curva!L$3:L5))</f>
        <v/>
      </c>
      <c r="M5" s="43">
        <f>IF(Curva!M5="","",SUM(Curva!M$3:M5))</f>
        <v/>
      </c>
      <c r="N5" s="43">
        <f>IF(Curva!N5="","",SUM(Curva!N$3:N5))</f>
        <v/>
      </c>
      <c r="O5" s="43">
        <f>IF(Curva!O5="","",SUM(Curva!O$3:O5))</f>
        <v/>
      </c>
      <c r="P5" s="43">
        <f>IF(Curva!P5="","",SUM(Curva!P$3:P5))</f>
        <v/>
      </c>
      <c r="Q5" s="43">
        <f>IF(Curva!Q5="","",SUM(Curva!Q$3:Q5))</f>
        <v/>
      </c>
      <c r="R5" s="43">
        <f>IF(Curva!R5="","",SUM(Curva!R$3:R5))</f>
        <v/>
      </c>
      <c r="S5" s="43">
        <f>IF(Curva!S5="","",SUM(Curva!S$3:S5))</f>
        <v/>
      </c>
      <c r="T5" s="43">
        <f>IF(Curva!T5="","",SUM(Curva!T$3:T5))</f>
        <v/>
      </c>
      <c r="U5" s="43">
        <f>IF(Curva!U5="","",SUM(Curva!U$3:U5))</f>
        <v/>
      </c>
      <c r="V5" s="43">
        <f>IF(Curva!V5="","",SUM(Curva!V$3:V5))</f>
        <v/>
      </c>
      <c r="W5" s="43">
        <f>IF(Curva!W5="","",SUM(Curva!W$3:W5))</f>
        <v/>
      </c>
      <c r="X5" s="43">
        <f>IF(Curva!X5="","",SUM(Curva!X$3:X5))</f>
        <v/>
      </c>
      <c r="Y5" s="43">
        <f>IF(Curva!Y5="","",SUM(Curva!Y$3:Y5))</f>
        <v/>
      </c>
      <c r="Z5" s="43">
        <f>IF(Curva!Z5="","",SUM(Curva!Z$3:Z5))</f>
        <v/>
      </c>
      <c r="AA5" s="43">
        <f>IF(Curva!AA5="","",SUM(Curva!AA$3:AA5))</f>
        <v/>
      </c>
      <c r="AB5" s="43">
        <f>IF(Curva!AB5="","",SUM(Curva!AB$3:AB5))</f>
        <v/>
      </c>
      <c r="AC5" s="43">
        <f>IF(Curva!AC5="","",SUM(Curva!AC$3:AC5))</f>
        <v/>
      </c>
      <c r="AD5" s="43">
        <f>IF(Curva!AD5="","",SUM(Curva!AD$3:AD5))</f>
        <v/>
      </c>
      <c r="AE5" s="43">
        <f>IF(Curva!AE5="","",SUM(Curva!AE$3:AE5))</f>
        <v/>
      </c>
      <c r="AF5" s="43">
        <f>IF(Curva!AF5="","",SUM(Curva!AF$3:AF5))</f>
        <v/>
      </c>
      <c r="AG5" s="43">
        <f>IF(Curva!AG5="","",SUM(Curva!AG$3:AG5))</f>
        <v/>
      </c>
      <c r="AH5" s="43">
        <f>IF(Curva!AH5="","",SUM(Curva!AH$3:AH5))</f>
        <v/>
      </c>
      <c r="AI5" s="43">
        <f>IF(Curva!AI5="","",SUM(Curva!AI$3:AI5))</f>
        <v/>
      </c>
      <c r="AJ5" s="43">
        <f>IF(Curva!AJ5="","",SUM(Curva!AJ$3:AJ5))</f>
        <v/>
      </c>
      <c r="AK5" s="43">
        <f>IF(Curva!AK5="","",SUM(Curva!AK$3:AK5))</f>
        <v/>
      </c>
    </row>
    <row r="6" ht="15" customHeight="1" s="23">
      <c r="A6" s="25" t="n">
        <v>4</v>
      </c>
      <c r="B6" s="43">
        <f>IF(Curva!B6="","",SUM(Curva!B$3:B6))</f>
        <v/>
      </c>
      <c r="C6" s="43">
        <f>IF(Curva!C6="","",SUM(Curva!C$3:C6))</f>
        <v/>
      </c>
      <c r="D6" s="43">
        <f>IF(Curva!D6="","",SUM(Curva!D$3:D6))</f>
        <v/>
      </c>
      <c r="E6" s="43">
        <f>IF(Curva!E6="","",SUM(Curva!E$3:E6))</f>
        <v/>
      </c>
      <c r="F6" s="43">
        <f>IF(Curva!F6="","",SUM(Curva!F$3:F6))</f>
        <v/>
      </c>
      <c r="G6" s="43">
        <f>IF(Curva!G6="","",SUM(Curva!G$3:G6))</f>
        <v/>
      </c>
      <c r="H6" s="43">
        <f>IF(Curva!H6="","",SUM(Curva!H$3:H6))</f>
        <v/>
      </c>
      <c r="I6" s="43">
        <f>IF(Curva!I6="","",SUM(Curva!I$3:I6))</f>
        <v/>
      </c>
      <c r="J6" s="43">
        <f>IF(Curva!J6="","",SUM(Curva!J$3:J6))</f>
        <v/>
      </c>
      <c r="K6" s="43">
        <f>IF(Curva!K6="","",SUM(Curva!K$3:K6))</f>
        <v/>
      </c>
      <c r="L6" s="43">
        <f>IF(Curva!L6="","",SUM(Curva!L$3:L6))</f>
        <v/>
      </c>
      <c r="M6" s="43">
        <f>IF(Curva!M6="","",SUM(Curva!M$3:M6))</f>
        <v/>
      </c>
      <c r="N6" s="43">
        <f>IF(Curva!N6="","",SUM(Curva!N$3:N6))</f>
        <v/>
      </c>
      <c r="O6" s="43">
        <f>IF(Curva!O6="","",SUM(Curva!O$3:O6))</f>
        <v/>
      </c>
      <c r="P6" s="43">
        <f>IF(Curva!P6="","",SUM(Curva!P$3:P6))</f>
        <v/>
      </c>
      <c r="Q6" s="43">
        <f>IF(Curva!Q6="","",SUM(Curva!Q$3:Q6))</f>
        <v/>
      </c>
      <c r="R6" s="43">
        <f>IF(Curva!R6="","",SUM(Curva!R$3:R6))</f>
        <v/>
      </c>
      <c r="S6" s="43">
        <f>IF(Curva!S6="","",SUM(Curva!S$3:S6))</f>
        <v/>
      </c>
      <c r="T6" s="43">
        <f>IF(Curva!T6="","",SUM(Curva!T$3:T6))</f>
        <v/>
      </c>
      <c r="U6" s="43">
        <f>IF(Curva!U6="","",SUM(Curva!U$3:U6))</f>
        <v/>
      </c>
      <c r="V6" s="43">
        <f>IF(Curva!V6="","",SUM(Curva!V$3:V6))</f>
        <v/>
      </c>
      <c r="W6" s="43">
        <f>IF(Curva!W6="","",SUM(Curva!W$3:W6))</f>
        <v/>
      </c>
      <c r="X6" s="43">
        <f>IF(Curva!X6="","",SUM(Curva!X$3:X6))</f>
        <v/>
      </c>
      <c r="Y6" s="43">
        <f>IF(Curva!Y6="","",SUM(Curva!Y$3:Y6))</f>
        <v/>
      </c>
      <c r="Z6" s="43">
        <f>IF(Curva!Z6="","",SUM(Curva!Z$3:Z6))</f>
        <v/>
      </c>
      <c r="AA6" s="43">
        <f>IF(Curva!AA6="","",SUM(Curva!AA$3:AA6))</f>
        <v/>
      </c>
      <c r="AB6" s="43">
        <f>IF(Curva!AB6="","",SUM(Curva!AB$3:AB6))</f>
        <v/>
      </c>
      <c r="AC6" s="43">
        <f>IF(Curva!AC6="","",SUM(Curva!AC$3:AC6))</f>
        <v/>
      </c>
      <c r="AD6" s="43">
        <f>IF(Curva!AD6="","",SUM(Curva!AD$3:AD6))</f>
        <v/>
      </c>
      <c r="AE6" s="43">
        <f>IF(Curva!AE6="","",SUM(Curva!AE$3:AE6))</f>
        <v/>
      </c>
      <c r="AF6" s="43">
        <f>IF(Curva!AF6="","",SUM(Curva!AF$3:AF6))</f>
        <v/>
      </c>
      <c r="AG6" s="43">
        <f>IF(Curva!AG6="","",SUM(Curva!AG$3:AG6))</f>
        <v/>
      </c>
      <c r="AH6" s="43">
        <f>IF(Curva!AH6="","",SUM(Curva!AH$3:AH6))</f>
        <v/>
      </c>
      <c r="AI6" s="43">
        <f>IF(Curva!AI6="","",SUM(Curva!AI$3:AI6))</f>
        <v/>
      </c>
      <c r="AJ6" s="43">
        <f>IF(Curva!AJ6="","",SUM(Curva!AJ$3:AJ6))</f>
        <v/>
      </c>
      <c r="AK6" s="43">
        <f>IF(Curva!AK6="","",SUM(Curva!AK$3:AK6))</f>
        <v/>
      </c>
    </row>
    <row r="7" ht="15" customHeight="1" s="23">
      <c r="A7" s="25" t="n">
        <v>5</v>
      </c>
      <c r="B7" s="43">
        <f>IF(Curva!B7="","",SUM(Curva!B$3:B7))</f>
        <v/>
      </c>
      <c r="C7" s="43">
        <f>IF(Curva!C7="","",SUM(Curva!C$3:C7))</f>
        <v/>
      </c>
      <c r="D7" s="43">
        <f>IF(Curva!D7="","",SUM(Curva!D$3:D7))</f>
        <v/>
      </c>
      <c r="E7" s="43">
        <f>IF(Curva!E7="","",SUM(Curva!E$3:E7))</f>
        <v/>
      </c>
      <c r="F7" s="43">
        <f>IF(Curva!F7="","",SUM(Curva!F$3:F7))</f>
        <v/>
      </c>
      <c r="G7" s="43">
        <f>IF(Curva!G7="","",SUM(Curva!G$3:G7))</f>
        <v/>
      </c>
      <c r="H7" s="43">
        <f>IF(Curva!H7="","",SUM(Curva!H$3:H7))</f>
        <v/>
      </c>
      <c r="I7" s="43">
        <f>IF(Curva!I7="","",SUM(Curva!I$3:I7))</f>
        <v/>
      </c>
      <c r="J7" s="43">
        <f>IF(Curva!J7="","",SUM(Curva!J$3:J7))</f>
        <v/>
      </c>
      <c r="K7" s="43">
        <f>IF(Curva!K7="","",SUM(Curva!K$3:K7))</f>
        <v/>
      </c>
      <c r="L7" s="43">
        <f>IF(Curva!L7="","",SUM(Curva!L$3:L7))</f>
        <v/>
      </c>
      <c r="M7" s="43">
        <f>IF(Curva!M7="","",SUM(Curva!M$3:M7))</f>
        <v/>
      </c>
      <c r="N7" s="43">
        <f>IF(Curva!N7="","",SUM(Curva!N$3:N7))</f>
        <v/>
      </c>
      <c r="O7" s="43">
        <f>IF(Curva!O7="","",SUM(Curva!O$3:O7))</f>
        <v/>
      </c>
      <c r="P7" s="43">
        <f>IF(Curva!P7="","",SUM(Curva!P$3:P7))</f>
        <v/>
      </c>
      <c r="Q7" s="43">
        <f>IF(Curva!Q7="","",SUM(Curva!Q$3:Q7))</f>
        <v/>
      </c>
      <c r="R7" s="43">
        <f>IF(Curva!R7="","",SUM(Curva!R$3:R7))</f>
        <v/>
      </c>
      <c r="S7" s="43">
        <f>IF(Curva!S7="","",SUM(Curva!S$3:S7))</f>
        <v/>
      </c>
      <c r="T7" s="43">
        <f>IF(Curva!T7="","",SUM(Curva!T$3:T7))</f>
        <v/>
      </c>
      <c r="U7" s="43">
        <f>IF(Curva!U7="","",SUM(Curva!U$3:U7))</f>
        <v/>
      </c>
      <c r="V7" s="43">
        <f>IF(Curva!V7="","",SUM(Curva!V$3:V7))</f>
        <v/>
      </c>
      <c r="W7" s="43">
        <f>IF(Curva!W7="","",SUM(Curva!W$3:W7))</f>
        <v/>
      </c>
      <c r="X7" s="43">
        <f>IF(Curva!X7="","",SUM(Curva!X$3:X7))</f>
        <v/>
      </c>
      <c r="Y7" s="43">
        <f>IF(Curva!Y7="","",SUM(Curva!Y$3:Y7))</f>
        <v/>
      </c>
      <c r="Z7" s="43">
        <f>IF(Curva!Z7="","",SUM(Curva!Z$3:Z7))</f>
        <v/>
      </c>
      <c r="AA7" s="43">
        <f>IF(Curva!AA7="","",SUM(Curva!AA$3:AA7))</f>
        <v/>
      </c>
      <c r="AB7" s="43">
        <f>IF(Curva!AB7="","",SUM(Curva!AB$3:AB7))</f>
        <v/>
      </c>
      <c r="AC7" s="43">
        <f>IF(Curva!AC7="","",SUM(Curva!AC$3:AC7))</f>
        <v/>
      </c>
      <c r="AD7" s="43">
        <f>IF(Curva!AD7="","",SUM(Curva!AD$3:AD7))</f>
        <v/>
      </c>
      <c r="AE7" s="43">
        <f>IF(Curva!AE7="","",SUM(Curva!AE$3:AE7))</f>
        <v/>
      </c>
      <c r="AF7" s="43">
        <f>IF(Curva!AF7="","",SUM(Curva!AF$3:AF7))</f>
        <v/>
      </c>
      <c r="AG7" s="43">
        <f>IF(Curva!AG7="","",SUM(Curva!AG$3:AG7))</f>
        <v/>
      </c>
      <c r="AH7" s="43">
        <f>IF(Curva!AH7="","",SUM(Curva!AH$3:AH7))</f>
        <v/>
      </c>
      <c r="AI7" s="43">
        <f>IF(Curva!AI7="","",SUM(Curva!AI$3:AI7))</f>
        <v/>
      </c>
      <c r="AJ7" s="43">
        <f>IF(Curva!AJ7="","",SUM(Curva!AJ$3:AJ7))</f>
        <v/>
      </c>
      <c r="AK7" s="43">
        <f>IF(Curva!AK7="","",SUM(Curva!AK$3:AK7))</f>
        <v/>
      </c>
    </row>
    <row r="8" ht="15" customHeight="1" s="23">
      <c r="A8" s="25" t="n">
        <v>6</v>
      </c>
      <c r="B8" s="43">
        <f>IF(Curva!B8="","",SUM(Curva!B$3:B8))</f>
        <v/>
      </c>
      <c r="C8" s="43">
        <f>IF(Curva!C8="","",SUM(Curva!C$3:C8))</f>
        <v/>
      </c>
      <c r="D8" s="43">
        <f>IF(Curva!D8="","",SUM(Curva!D$3:D8))</f>
        <v/>
      </c>
      <c r="E8" s="43">
        <f>IF(Curva!E8="","",SUM(Curva!E$3:E8))</f>
        <v/>
      </c>
      <c r="F8" s="43">
        <f>IF(Curva!F8="","",SUM(Curva!F$3:F8))</f>
        <v/>
      </c>
      <c r="G8" s="43">
        <f>IF(Curva!G8="","",SUM(Curva!G$3:G8))</f>
        <v/>
      </c>
      <c r="H8" s="43">
        <f>IF(Curva!H8="","",SUM(Curva!H$3:H8))</f>
        <v/>
      </c>
      <c r="I8" s="43">
        <f>IF(Curva!I8="","",SUM(Curva!I$3:I8))</f>
        <v/>
      </c>
      <c r="J8" s="43">
        <f>IF(Curva!J8="","",SUM(Curva!J$3:J8))</f>
        <v/>
      </c>
      <c r="K8" s="43">
        <f>IF(Curva!K8="","",SUM(Curva!K$3:K8))</f>
        <v/>
      </c>
      <c r="L8" s="43">
        <f>IF(Curva!L8="","",SUM(Curva!L$3:L8))</f>
        <v/>
      </c>
      <c r="M8" s="43">
        <f>IF(Curva!M8="","",SUM(Curva!M$3:M8))</f>
        <v/>
      </c>
      <c r="N8" s="43">
        <f>IF(Curva!N8="","",SUM(Curva!N$3:N8))</f>
        <v/>
      </c>
      <c r="O8" s="43">
        <f>IF(Curva!O8="","",SUM(Curva!O$3:O8))</f>
        <v/>
      </c>
      <c r="P8" s="43">
        <f>IF(Curva!P8="","",SUM(Curva!P$3:P8))</f>
        <v/>
      </c>
      <c r="Q8" s="43">
        <f>IF(Curva!Q8="","",SUM(Curva!Q$3:Q8))</f>
        <v/>
      </c>
      <c r="R8" s="43">
        <f>IF(Curva!R8="","",SUM(Curva!R$3:R8))</f>
        <v/>
      </c>
      <c r="S8" s="43">
        <f>IF(Curva!S8="","",SUM(Curva!S$3:S8))</f>
        <v/>
      </c>
      <c r="T8" s="43">
        <f>IF(Curva!T8="","",SUM(Curva!T$3:T8))</f>
        <v/>
      </c>
      <c r="U8" s="43">
        <f>IF(Curva!U8="","",SUM(Curva!U$3:U8))</f>
        <v/>
      </c>
      <c r="V8" s="43">
        <f>IF(Curva!V8="","",SUM(Curva!V$3:V8))</f>
        <v/>
      </c>
      <c r="W8" s="43">
        <f>IF(Curva!W8="","",SUM(Curva!W$3:W8))</f>
        <v/>
      </c>
      <c r="X8" s="43">
        <f>IF(Curva!X8="","",SUM(Curva!X$3:X8))</f>
        <v/>
      </c>
      <c r="Y8" s="43">
        <f>IF(Curva!Y8="","",SUM(Curva!Y$3:Y8))</f>
        <v/>
      </c>
      <c r="Z8" s="43">
        <f>IF(Curva!Z8="","",SUM(Curva!Z$3:Z8))</f>
        <v/>
      </c>
      <c r="AA8" s="43">
        <f>IF(Curva!AA8="","",SUM(Curva!AA$3:AA8))</f>
        <v/>
      </c>
      <c r="AB8" s="43">
        <f>IF(Curva!AB8="","",SUM(Curva!AB$3:AB8))</f>
        <v/>
      </c>
      <c r="AC8" s="43">
        <f>IF(Curva!AC8="","",SUM(Curva!AC$3:AC8))</f>
        <v/>
      </c>
      <c r="AD8" s="43">
        <f>IF(Curva!AD8="","",SUM(Curva!AD$3:AD8))</f>
        <v/>
      </c>
      <c r="AE8" s="43">
        <f>IF(Curva!AE8="","",SUM(Curva!AE$3:AE8))</f>
        <v/>
      </c>
      <c r="AF8" s="43">
        <f>IF(Curva!AF8="","",SUM(Curva!AF$3:AF8))</f>
        <v/>
      </c>
      <c r="AG8" s="43">
        <f>IF(Curva!AG8="","",SUM(Curva!AG$3:AG8))</f>
        <v/>
      </c>
      <c r="AH8" s="43">
        <f>IF(Curva!AH8="","",SUM(Curva!AH$3:AH8))</f>
        <v/>
      </c>
      <c r="AI8" s="43">
        <f>IF(Curva!AI8="","",SUM(Curva!AI$3:AI8))</f>
        <v/>
      </c>
      <c r="AJ8" s="43">
        <f>IF(Curva!AJ8="","",SUM(Curva!AJ$3:AJ8))</f>
        <v/>
      </c>
      <c r="AK8" s="43">
        <f>IF(Curva!AK8="","",SUM(Curva!AK$3:AK8))</f>
        <v/>
      </c>
    </row>
    <row r="9" ht="15" customHeight="1" s="23">
      <c r="A9" s="25" t="n">
        <v>7</v>
      </c>
      <c r="B9" s="43">
        <f>IF(Curva!B9="","",SUM(Curva!B$3:B9))</f>
        <v/>
      </c>
      <c r="C9" s="43">
        <f>IF(Curva!C9="","",SUM(Curva!C$3:C9))</f>
        <v/>
      </c>
      <c r="D9" s="43">
        <f>IF(Curva!D9="","",SUM(Curva!D$3:D9))</f>
        <v/>
      </c>
      <c r="E9" s="43">
        <f>IF(Curva!E9="","",SUM(Curva!E$3:E9))</f>
        <v/>
      </c>
      <c r="F9" s="43">
        <f>IF(Curva!F9="","",SUM(Curva!F$3:F9))</f>
        <v/>
      </c>
      <c r="G9" s="43">
        <f>IF(Curva!G9="","",SUM(Curva!G$3:G9))</f>
        <v/>
      </c>
      <c r="H9" s="43">
        <f>IF(Curva!H9="","",SUM(Curva!H$3:H9))</f>
        <v/>
      </c>
      <c r="I9" s="43">
        <f>IF(Curva!I9="","",SUM(Curva!I$3:I9))</f>
        <v/>
      </c>
      <c r="J9" s="43">
        <f>IF(Curva!J9="","",SUM(Curva!J$3:J9))</f>
        <v/>
      </c>
      <c r="K9" s="43">
        <f>IF(Curva!K9="","",SUM(Curva!K$3:K9))</f>
        <v/>
      </c>
      <c r="L9" s="43">
        <f>IF(Curva!L9="","",SUM(Curva!L$3:L9))</f>
        <v/>
      </c>
      <c r="M9" s="43">
        <f>IF(Curva!M9="","",SUM(Curva!M$3:M9))</f>
        <v/>
      </c>
      <c r="N9" s="43">
        <f>IF(Curva!N9="","",SUM(Curva!N$3:N9))</f>
        <v/>
      </c>
      <c r="O9" s="43">
        <f>IF(Curva!O9="","",SUM(Curva!O$3:O9))</f>
        <v/>
      </c>
      <c r="P9" s="43">
        <f>IF(Curva!P9="","",SUM(Curva!P$3:P9))</f>
        <v/>
      </c>
      <c r="Q9" s="43">
        <f>IF(Curva!Q9="","",SUM(Curva!Q$3:Q9))</f>
        <v/>
      </c>
      <c r="R9" s="43">
        <f>IF(Curva!R9="","",SUM(Curva!R$3:R9))</f>
        <v/>
      </c>
      <c r="S9" s="43">
        <f>IF(Curva!S9="","",SUM(Curva!S$3:S9))</f>
        <v/>
      </c>
      <c r="T9" s="43">
        <f>IF(Curva!T9="","",SUM(Curva!T$3:T9))</f>
        <v/>
      </c>
      <c r="U9" s="43">
        <f>IF(Curva!U9="","",SUM(Curva!U$3:U9))</f>
        <v/>
      </c>
      <c r="V9" s="43">
        <f>IF(Curva!V9="","",SUM(Curva!V$3:V9))</f>
        <v/>
      </c>
      <c r="W9" s="43">
        <f>IF(Curva!W9="","",SUM(Curva!W$3:W9))</f>
        <v/>
      </c>
      <c r="X9" s="43">
        <f>IF(Curva!X9="","",SUM(Curva!X$3:X9))</f>
        <v/>
      </c>
      <c r="Y9" s="43">
        <f>IF(Curva!Y9="","",SUM(Curva!Y$3:Y9))</f>
        <v/>
      </c>
      <c r="Z9" s="43">
        <f>IF(Curva!Z9="","",SUM(Curva!Z$3:Z9))</f>
        <v/>
      </c>
      <c r="AA9" s="43">
        <f>IF(Curva!AA9="","",SUM(Curva!AA$3:AA9))</f>
        <v/>
      </c>
      <c r="AB9" s="43">
        <f>IF(Curva!AB9="","",SUM(Curva!AB$3:AB9))</f>
        <v/>
      </c>
      <c r="AC9" s="43">
        <f>IF(Curva!AC9="","",SUM(Curva!AC$3:AC9))</f>
        <v/>
      </c>
      <c r="AD9" s="43">
        <f>IF(Curva!AD9="","",SUM(Curva!AD$3:AD9))</f>
        <v/>
      </c>
      <c r="AE9" s="43">
        <f>IF(Curva!AE9="","",SUM(Curva!AE$3:AE9))</f>
        <v/>
      </c>
      <c r="AF9" s="43">
        <f>IF(Curva!AF9="","",SUM(Curva!AF$3:AF9))</f>
        <v/>
      </c>
      <c r="AG9" s="43">
        <f>IF(Curva!AG9="","",SUM(Curva!AG$3:AG9))</f>
        <v/>
      </c>
      <c r="AH9" s="43">
        <f>IF(Curva!AH9="","",SUM(Curva!AH$3:AH9))</f>
        <v/>
      </c>
      <c r="AI9" s="43">
        <f>IF(Curva!AI9="","",SUM(Curva!AI$3:AI9))</f>
        <v/>
      </c>
      <c r="AJ9" s="43">
        <f>IF(Curva!AJ9="","",SUM(Curva!AJ$3:AJ9))</f>
        <v/>
      </c>
      <c r="AK9" s="43">
        <f>IF(Curva!AK9="","",SUM(Curva!AK$3:AK9))</f>
        <v/>
      </c>
    </row>
    <row r="10" ht="15" customHeight="1" s="23">
      <c r="A10" s="25" t="n">
        <v>8</v>
      </c>
      <c r="B10" s="43">
        <f>IF(Curva!B10="","",SUM(Curva!B$3:B10))</f>
        <v/>
      </c>
      <c r="C10" s="43">
        <f>IF(Curva!C10="","",SUM(Curva!C$3:C10))</f>
        <v/>
      </c>
      <c r="D10" s="43">
        <f>IF(Curva!D10="","",SUM(Curva!D$3:D10))</f>
        <v/>
      </c>
      <c r="E10" s="43">
        <f>IF(Curva!E10="","",SUM(Curva!E$3:E10))</f>
        <v/>
      </c>
      <c r="F10" s="43">
        <f>IF(Curva!F10="","",SUM(Curva!F$3:F10))</f>
        <v/>
      </c>
      <c r="G10" s="43">
        <f>IF(Curva!G10="","",SUM(Curva!G$3:G10))</f>
        <v/>
      </c>
      <c r="H10" s="43">
        <f>IF(Curva!H10="","",SUM(Curva!H$3:H10))</f>
        <v/>
      </c>
      <c r="I10" s="43">
        <f>IF(Curva!I10="","",SUM(Curva!I$3:I10))</f>
        <v/>
      </c>
      <c r="J10" s="43">
        <f>IF(Curva!J10="","",SUM(Curva!J$3:J10))</f>
        <v/>
      </c>
      <c r="K10" s="43">
        <f>IF(Curva!K10="","",SUM(Curva!K$3:K10))</f>
        <v/>
      </c>
      <c r="L10" s="43">
        <f>IF(Curva!L10="","",SUM(Curva!L$3:L10))</f>
        <v/>
      </c>
      <c r="M10" s="43">
        <f>IF(Curva!M10="","",SUM(Curva!M$3:M10))</f>
        <v/>
      </c>
      <c r="N10" s="43">
        <f>IF(Curva!N10="","",SUM(Curva!N$3:N10))</f>
        <v/>
      </c>
      <c r="O10" s="43">
        <f>IF(Curva!O10="","",SUM(Curva!O$3:O10))</f>
        <v/>
      </c>
      <c r="P10" s="43">
        <f>IF(Curva!P10="","",SUM(Curva!P$3:P10))</f>
        <v/>
      </c>
      <c r="Q10" s="43">
        <f>IF(Curva!Q10="","",SUM(Curva!Q$3:Q10))</f>
        <v/>
      </c>
      <c r="R10" s="43">
        <f>IF(Curva!R10="","",SUM(Curva!R$3:R10))</f>
        <v/>
      </c>
      <c r="S10" s="43">
        <f>IF(Curva!S10="","",SUM(Curva!S$3:S10))</f>
        <v/>
      </c>
      <c r="T10" s="43">
        <f>IF(Curva!T10="","",SUM(Curva!T$3:T10))</f>
        <v/>
      </c>
      <c r="U10" s="43">
        <f>IF(Curva!U10="","",SUM(Curva!U$3:U10))</f>
        <v/>
      </c>
      <c r="V10" s="43">
        <f>IF(Curva!V10="","",SUM(Curva!V$3:V10))</f>
        <v/>
      </c>
      <c r="W10" s="43">
        <f>IF(Curva!W10="","",SUM(Curva!W$3:W10))</f>
        <v/>
      </c>
      <c r="X10" s="43">
        <f>IF(Curva!X10="","",SUM(Curva!X$3:X10))</f>
        <v/>
      </c>
      <c r="Y10" s="43">
        <f>IF(Curva!Y10="","",SUM(Curva!Y$3:Y10))</f>
        <v/>
      </c>
      <c r="Z10" s="43">
        <f>IF(Curva!Z10="","",SUM(Curva!Z$3:Z10))</f>
        <v/>
      </c>
      <c r="AA10" s="43">
        <f>IF(Curva!AA10="","",SUM(Curva!AA$3:AA10))</f>
        <v/>
      </c>
      <c r="AB10" s="43">
        <f>IF(Curva!AB10="","",SUM(Curva!AB$3:AB10))</f>
        <v/>
      </c>
      <c r="AC10" s="43">
        <f>IF(Curva!AC10="","",SUM(Curva!AC$3:AC10))</f>
        <v/>
      </c>
      <c r="AD10" s="43">
        <f>IF(Curva!AD10="","",SUM(Curva!AD$3:AD10))</f>
        <v/>
      </c>
      <c r="AE10" s="43">
        <f>IF(Curva!AE10="","",SUM(Curva!AE$3:AE10))</f>
        <v/>
      </c>
      <c r="AF10" s="43">
        <f>IF(Curva!AF10="","",SUM(Curva!AF$3:AF10))</f>
        <v/>
      </c>
      <c r="AG10" s="43">
        <f>IF(Curva!AG10="","",SUM(Curva!AG$3:AG10))</f>
        <v/>
      </c>
      <c r="AH10" s="43">
        <f>IF(Curva!AH10="","",SUM(Curva!AH$3:AH10))</f>
        <v/>
      </c>
      <c r="AI10" s="43">
        <f>IF(Curva!AI10="","",SUM(Curva!AI$3:AI10))</f>
        <v/>
      </c>
      <c r="AJ10" s="43">
        <f>IF(Curva!AJ10="","",SUM(Curva!AJ$3:AJ10))</f>
        <v/>
      </c>
      <c r="AK10" s="43">
        <f>IF(Curva!AK10="","",SUM(Curva!AK$3:AK10))</f>
        <v/>
      </c>
    </row>
    <row r="11" ht="15" customHeight="1" s="23">
      <c r="A11" s="25" t="n">
        <v>9</v>
      </c>
      <c r="B11" s="43">
        <f>IF(Curva!B11="","",SUM(Curva!B$3:B11))</f>
        <v/>
      </c>
      <c r="C11" s="43">
        <f>IF(Curva!C11="","",SUM(Curva!C$3:C11))</f>
        <v/>
      </c>
      <c r="D11" s="43">
        <f>IF(Curva!D11="","",SUM(Curva!D$3:D11))</f>
        <v/>
      </c>
      <c r="E11" s="43">
        <f>IF(Curva!E11="","",SUM(Curva!E$3:E11))</f>
        <v/>
      </c>
      <c r="F11" s="43">
        <f>IF(Curva!F11="","",SUM(Curva!F$3:F11))</f>
        <v/>
      </c>
      <c r="G11" s="43">
        <f>IF(Curva!G11="","",SUM(Curva!G$3:G11))</f>
        <v/>
      </c>
      <c r="H11" s="43">
        <f>IF(Curva!H11="","",SUM(Curva!H$3:H11))</f>
        <v/>
      </c>
      <c r="I11" s="43">
        <f>IF(Curva!I11="","",SUM(Curva!I$3:I11))</f>
        <v/>
      </c>
      <c r="J11" s="43">
        <f>IF(Curva!J11="","",SUM(Curva!J$3:J11))</f>
        <v/>
      </c>
      <c r="K11" s="43">
        <f>IF(Curva!K11="","",SUM(Curva!K$3:K11))</f>
        <v/>
      </c>
      <c r="L11" s="43">
        <f>IF(Curva!L11="","",SUM(Curva!L$3:L11))</f>
        <v/>
      </c>
      <c r="M11" s="43">
        <f>IF(Curva!M11="","",SUM(Curva!M$3:M11))</f>
        <v/>
      </c>
      <c r="N11" s="43">
        <f>IF(Curva!N11="","",SUM(Curva!N$3:N11))</f>
        <v/>
      </c>
      <c r="O11" s="43">
        <f>IF(Curva!O11="","",SUM(Curva!O$3:O11))</f>
        <v/>
      </c>
      <c r="P11" s="43">
        <f>IF(Curva!P11="","",SUM(Curva!P$3:P11))</f>
        <v/>
      </c>
      <c r="Q11" s="43">
        <f>IF(Curva!Q11="","",SUM(Curva!Q$3:Q11))</f>
        <v/>
      </c>
      <c r="R11" s="43">
        <f>IF(Curva!R11="","",SUM(Curva!R$3:R11))</f>
        <v/>
      </c>
      <c r="S11" s="43">
        <f>IF(Curva!S11="","",SUM(Curva!S$3:S11))</f>
        <v/>
      </c>
      <c r="T11" s="43">
        <f>IF(Curva!T11="","",SUM(Curva!T$3:T11))</f>
        <v/>
      </c>
      <c r="U11" s="43">
        <f>IF(Curva!U11="","",SUM(Curva!U$3:U11))</f>
        <v/>
      </c>
      <c r="V11" s="43">
        <f>IF(Curva!V11="","",SUM(Curva!V$3:V11))</f>
        <v/>
      </c>
      <c r="W11" s="43">
        <f>IF(Curva!W11="","",SUM(Curva!W$3:W11))</f>
        <v/>
      </c>
      <c r="X11" s="43">
        <f>IF(Curva!X11="","",SUM(Curva!X$3:X11))</f>
        <v/>
      </c>
      <c r="Y11" s="43">
        <f>IF(Curva!Y11="","",SUM(Curva!Y$3:Y11))</f>
        <v/>
      </c>
      <c r="Z11" s="43">
        <f>IF(Curva!Z11="","",SUM(Curva!Z$3:Z11))</f>
        <v/>
      </c>
      <c r="AA11" s="43">
        <f>IF(Curva!AA11="","",SUM(Curva!AA$3:AA11))</f>
        <v/>
      </c>
      <c r="AB11" s="43">
        <f>IF(Curva!AB11="","",SUM(Curva!AB$3:AB11))</f>
        <v/>
      </c>
      <c r="AC11" s="43">
        <f>IF(Curva!AC11="","",SUM(Curva!AC$3:AC11))</f>
        <v/>
      </c>
      <c r="AD11" s="43">
        <f>IF(Curva!AD11="","",SUM(Curva!AD$3:AD11))</f>
        <v/>
      </c>
      <c r="AE11" s="43">
        <f>IF(Curva!AE11="","",SUM(Curva!AE$3:AE11))</f>
        <v/>
      </c>
      <c r="AF11" s="43">
        <f>IF(Curva!AF11="","",SUM(Curva!AF$3:AF11))</f>
        <v/>
      </c>
      <c r="AG11" s="43">
        <f>IF(Curva!AG11="","",SUM(Curva!AG$3:AG11))</f>
        <v/>
      </c>
      <c r="AH11" s="43">
        <f>IF(Curva!AH11="","",SUM(Curva!AH$3:AH11))</f>
        <v/>
      </c>
      <c r="AI11" s="43">
        <f>IF(Curva!AI11="","",SUM(Curva!AI$3:AI11))</f>
        <v/>
      </c>
      <c r="AJ11" s="43">
        <f>IF(Curva!AJ11="","",SUM(Curva!AJ$3:AJ11))</f>
        <v/>
      </c>
      <c r="AK11" s="43">
        <f>IF(Curva!AK11="","",SUM(Curva!AK$3:AK11))</f>
        <v/>
      </c>
    </row>
    <row r="12" ht="15" customHeight="1" s="23">
      <c r="A12" s="25" t="n">
        <v>10</v>
      </c>
      <c r="B12" s="43">
        <f>IF(Curva!B12="","",SUM(Curva!B$3:B12))</f>
        <v/>
      </c>
      <c r="C12" s="43">
        <f>IF(Curva!C12="","",SUM(Curva!C$3:C12))</f>
        <v/>
      </c>
      <c r="D12" s="43">
        <f>IF(Curva!D12="","",SUM(Curva!D$3:D12))</f>
        <v/>
      </c>
      <c r="E12" s="43">
        <f>IF(Curva!E12="","",SUM(Curva!E$3:E12))</f>
        <v/>
      </c>
      <c r="F12" s="43">
        <f>IF(Curva!F12="","",SUM(Curva!F$3:F12))</f>
        <v/>
      </c>
      <c r="G12" s="43">
        <f>IF(Curva!G12="","",SUM(Curva!G$3:G12))</f>
        <v/>
      </c>
      <c r="H12" s="43">
        <f>IF(Curva!H12="","",SUM(Curva!H$3:H12))</f>
        <v/>
      </c>
      <c r="I12" s="43">
        <f>IF(Curva!I12="","",SUM(Curva!I$3:I12))</f>
        <v/>
      </c>
      <c r="J12" s="43">
        <f>IF(Curva!J12="","",SUM(Curva!J$3:J12))</f>
        <v/>
      </c>
      <c r="K12" s="43">
        <f>IF(Curva!K12="","",SUM(Curva!K$3:K12))</f>
        <v/>
      </c>
      <c r="L12" s="43">
        <f>IF(Curva!L12="","",SUM(Curva!L$3:L12))</f>
        <v/>
      </c>
      <c r="M12" s="43">
        <f>IF(Curva!M12="","",SUM(Curva!M$3:M12))</f>
        <v/>
      </c>
      <c r="N12" s="43">
        <f>IF(Curva!N12="","",SUM(Curva!N$3:N12))</f>
        <v/>
      </c>
      <c r="O12" s="43">
        <f>IF(Curva!O12="","",SUM(Curva!O$3:O12))</f>
        <v/>
      </c>
      <c r="P12" s="43">
        <f>IF(Curva!P12="","",SUM(Curva!P$3:P12))</f>
        <v/>
      </c>
      <c r="Q12" s="43">
        <f>IF(Curva!Q12="","",SUM(Curva!Q$3:Q12))</f>
        <v/>
      </c>
      <c r="R12" s="43">
        <f>IF(Curva!R12="","",SUM(Curva!R$3:R12))</f>
        <v/>
      </c>
      <c r="S12" s="43">
        <f>IF(Curva!S12="","",SUM(Curva!S$3:S12))</f>
        <v/>
      </c>
      <c r="T12" s="43">
        <f>IF(Curva!T12="","",SUM(Curva!T$3:T12))</f>
        <v/>
      </c>
      <c r="U12" s="43">
        <f>IF(Curva!U12="","",SUM(Curva!U$3:U12))</f>
        <v/>
      </c>
      <c r="V12" s="43">
        <f>IF(Curva!V12="","",SUM(Curva!V$3:V12))</f>
        <v/>
      </c>
      <c r="W12" s="43">
        <f>IF(Curva!W12="","",SUM(Curva!W$3:W12))</f>
        <v/>
      </c>
      <c r="X12" s="43">
        <f>IF(Curva!X12="","",SUM(Curva!X$3:X12))</f>
        <v/>
      </c>
      <c r="Y12" s="43">
        <f>IF(Curva!Y12="","",SUM(Curva!Y$3:Y12))</f>
        <v/>
      </c>
      <c r="Z12" s="43">
        <f>IF(Curva!Z12="","",SUM(Curva!Z$3:Z12))</f>
        <v/>
      </c>
      <c r="AA12" s="43">
        <f>IF(Curva!AA12="","",SUM(Curva!AA$3:AA12))</f>
        <v/>
      </c>
      <c r="AB12" s="43">
        <f>IF(Curva!AB12="","",SUM(Curva!AB$3:AB12))</f>
        <v/>
      </c>
      <c r="AC12" s="43">
        <f>IF(Curva!AC12="","",SUM(Curva!AC$3:AC12))</f>
        <v/>
      </c>
      <c r="AD12" s="43">
        <f>IF(Curva!AD12="","",SUM(Curva!AD$3:AD12))</f>
        <v/>
      </c>
      <c r="AE12" s="43">
        <f>IF(Curva!AE12="","",SUM(Curva!AE$3:AE12))</f>
        <v/>
      </c>
      <c r="AF12" s="43">
        <f>IF(Curva!AF12="","",SUM(Curva!AF$3:AF12))</f>
        <v/>
      </c>
      <c r="AG12" s="43">
        <f>IF(Curva!AG12="","",SUM(Curva!AG$3:AG12))</f>
        <v/>
      </c>
      <c r="AH12" s="43">
        <f>IF(Curva!AH12="","",SUM(Curva!AH$3:AH12))</f>
        <v/>
      </c>
      <c r="AI12" s="43">
        <f>IF(Curva!AI12="","",SUM(Curva!AI$3:AI12))</f>
        <v/>
      </c>
      <c r="AJ12" s="43">
        <f>IF(Curva!AJ12="","",SUM(Curva!AJ$3:AJ12))</f>
        <v/>
      </c>
      <c r="AK12" s="43">
        <f>IF(Curva!AK12="","",SUM(Curva!AK$3:AK12))</f>
        <v/>
      </c>
    </row>
    <row r="13" ht="15" customHeight="1" s="23">
      <c r="A13" s="25" t="n">
        <v>11</v>
      </c>
      <c r="B13" s="43">
        <f>IF(Curva!B13="","",SUM(Curva!B$3:B13))</f>
        <v/>
      </c>
      <c r="C13" s="43">
        <f>IF(Curva!C13="","",SUM(Curva!C$3:C13))</f>
        <v/>
      </c>
      <c r="D13" s="43">
        <f>IF(Curva!D13="","",SUM(Curva!D$3:D13))</f>
        <v/>
      </c>
      <c r="E13" s="43">
        <f>IF(Curva!E13="","",SUM(Curva!E$3:E13))</f>
        <v/>
      </c>
      <c r="F13" s="43">
        <f>IF(Curva!F13="","",SUM(Curva!F$3:F13))</f>
        <v/>
      </c>
      <c r="G13" s="43">
        <f>IF(Curva!G13="","",SUM(Curva!G$3:G13))</f>
        <v/>
      </c>
      <c r="H13" s="43">
        <f>IF(Curva!H13="","",SUM(Curva!H$3:H13))</f>
        <v/>
      </c>
      <c r="I13" s="43">
        <f>IF(Curva!I13="","",SUM(Curva!I$3:I13))</f>
        <v/>
      </c>
      <c r="J13" s="43">
        <f>IF(Curva!J13="","",SUM(Curva!J$3:J13))</f>
        <v/>
      </c>
      <c r="K13" s="43">
        <f>IF(Curva!K13="","",SUM(Curva!K$3:K13))</f>
        <v/>
      </c>
      <c r="L13" s="43">
        <f>IF(Curva!L13="","",SUM(Curva!L$3:L13))</f>
        <v/>
      </c>
      <c r="M13" s="43">
        <f>IF(Curva!M13="","",SUM(Curva!M$3:M13))</f>
        <v/>
      </c>
      <c r="N13" s="43">
        <f>IF(Curva!N13="","",SUM(Curva!N$3:N13))</f>
        <v/>
      </c>
      <c r="O13" s="43">
        <f>IF(Curva!O13="","",SUM(Curva!O$3:O13))</f>
        <v/>
      </c>
      <c r="P13" s="43">
        <f>IF(Curva!P13="","",SUM(Curva!P$3:P13))</f>
        <v/>
      </c>
      <c r="Q13" s="43">
        <f>IF(Curva!Q13="","",SUM(Curva!Q$3:Q13))</f>
        <v/>
      </c>
      <c r="R13" s="43">
        <f>IF(Curva!R13="","",SUM(Curva!R$3:R13))</f>
        <v/>
      </c>
      <c r="S13" s="43">
        <f>IF(Curva!S13="","",SUM(Curva!S$3:S13))</f>
        <v/>
      </c>
      <c r="T13" s="43">
        <f>IF(Curva!T13="","",SUM(Curva!T$3:T13))</f>
        <v/>
      </c>
      <c r="U13" s="43">
        <f>IF(Curva!U13="","",SUM(Curva!U$3:U13))</f>
        <v/>
      </c>
      <c r="V13" s="43">
        <f>IF(Curva!V13="","",SUM(Curva!V$3:V13))</f>
        <v/>
      </c>
      <c r="W13" s="43">
        <f>IF(Curva!W13="","",SUM(Curva!W$3:W13))</f>
        <v/>
      </c>
      <c r="X13" s="43">
        <f>IF(Curva!X13="","",SUM(Curva!X$3:X13))</f>
        <v/>
      </c>
      <c r="Y13" s="43">
        <f>IF(Curva!Y13="","",SUM(Curva!Y$3:Y13))</f>
        <v/>
      </c>
      <c r="Z13" s="43">
        <f>IF(Curva!Z13="","",SUM(Curva!Z$3:Z13))</f>
        <v/>
      </c>
      <c r="AA13" s="43">
        <f>IF(Curva!AA13="","",SUM(Curva!AA$3:AA13))</f>
        <v/>
      </c>
      <c r="AB13" s="43">
        <f>IF(Curva!AB13="","",SUM(Curva!AB$3:AB13))</f>
        <v/>
      </c>
      <c r="AC13" s="43">
        <f>IF(Curva!AC13="","",SUM(Curva!AC$3:AC13))</f>
        <v/>
      </c>
      <c r="AD13" s="43">
        <f>IF(Curva!AD13="","",SUM(Curva!AD$3:AD13))</f>
        <v/>
      </c>
      <c r="AE13" s="43">
        <f>IF(Curva!AE13="","",SUM(Curva!AE$3:AE13))</f>
        <v/>
      </c>
      <c r="AF13" s="43">
        <f>IF(Curva!AF13="","",SUM(Curva!AF$3:AF13))</f>
        <v/>
      </c>
      <c r="AG13" s="43">
        <f>IF(Curva!AG13="","",SUM(Curva!AG$3:AG13))</f>
        <v/>
      </c>
      <c r="AH13" s="43">
        <f>IF(Curva!AH13="","",SUM(Curva!AH$3:AH13))</f>
        <v/>
      </c>
      <c r="AI13" s="43">
        <f>IF(Curva!AI13="","",SUM(Curva!AI$3:AI13))</f>
        <v/>
      </c>
      <c r="AJ13" s="43">
        <f>IF(Curva!AJ13="","",SUM(Curva!AJ$3:AJ13))</f>
        <v/>
      </c>
      <c r="AK13" s="43">
        <f>IF(Curva!AK13="","",SUM(Curva!AK$3:AK13))</f>
        <v/>
      </c>
    </row>
    <row r="14" ht="15" customHeight="1" s="23">
      <c r="A14" s="25" t="n">
        <v>12</v>
      </c>
      <c r="B14" s="43">
        <f>IF(Curva!B14="","",SUM(Curva!B$3:B14))</f>
        <v/>
      </c>
      <c r="C14" s="43">
        <f>IF(Curva!C14="","",SUM(Curva!C$3:C14))</f>
        <v/>
      </c>
      <c r="D14" s="43">
        <f>IF(Curva!D14="","",SUM(Curva!D$3:D14))</f>
        <v/>
      </c>
      <c r="E14" s="43">
        <f>IF(Curva!E14="","",SUM(Curva!E$3:E14))</f>
        <v/>
      </c>
      <c r="F14" s="43">
        <f>IF(Curva!F14="","",SUM(Curva!F$3:F14))</f>
        <v/>
      </c>
      <c r="G14" s="43">
        <f>IF(Curva!G14="","",SUM(Curva!G$3:G14))</f>
        <v/>
      </c>
      <c r="H14" s="43">
        <f>IF(Curva!H14="","",SUM(Curva!H$3:H14))</f>
        <v/>
      </c>
      <c r="I14" s="43">
        <f>IF(Curva!I14="","",SUM(Curva!I$3:I14))</f>
        <v/>
      </c>
      <c r="J14" s="43">
        <f>IF(Curva!J14="","",SUM(Curva!J$3:J14))</f>
        <v/>
      </c>
      <c r="K14" s="43">
        <f>IF(Curva!K14="","",SUM(Curva!K$3:K14))</f>
        <v/>
      </c>
      <c r="L14" s="43">
        <f>IF(Curva!L14="","",SUM(Curva!L$3:L14))</f>
        <v/>
      </c>
      <c r="M14" s="43">
        <f>IF(Curva!M14="","",SUM(Curva!M$3:M14))</f>
        <v/>
      </c>
      <c r="N14" s="43">
        <f>IF(Curva!N14="","",SUM(Curva!N$3:N14))</f>
        <v/>
      </c>
      <c r="O14" s="43">
        <f>IF(Curva!O14="","",SUM(Curva!O$3:O14))</f>
        <v/>
      </c>
      <c r="P14" s="43">
        <f>IF(Curva!P14="","",SUM(Curva!P$3:P14))</f>
        <v/>
      </c>
      <c r="Q14" s="43">
        <f>IF(Curva!Q14="","",SUM(Curva!Q$3:Q14))</f>
        <v/>
      </c>
      <c r="R14" s="43">
        <f>IF(Curva!R14="","",SUM(Curva!R$3:R14))</f>
        <v/>
      </c>
      <c r="S14" s="43">
        <f>IF(Curva!S14="","",SUM(Curva!S$3:S14))</f>
        <v/>
      </c>
      <c r="T14" s="43">
        <f>IF(Curva!T14="","",SUM(Curva!T$3:T14))</f>
        <v/>
      </c>
      <c r="U14" s="43">
        <f>IF(Curva!U14="","",SUM(Curva!U$3:U14))</f>
        <v/>
      </c>
      <c r="V14" s="43">
        <f>IF(Curva!V14="","",SUM(Curva!V$3:V14))</f>
        <v/>
      </c>
      <c r="W14" s="43">
        <f>IF(Curva!W14="","",SUM(Curva!W$3:W14))</f>
        <v/>
      </c>
      <c r="X14" s="43">
        <f>IF(Curva!X14="","",SUM(Curva!X$3:X14))</f>
        <v/>
      </c>
      <c r="Y14" s="43">
        <f>IF(Curva!Y14="","",SUM(Curva!Y$3:Y14))</f>
        <v/>
      </c>
      <c r="Z14" s="43">
        <f>IF(Curva!Z14="","",SUM(Curva!Z$3:Z14))</f>
        <v/>
      </c>
      <c r="AA14" s="43">
        <f>IF(Curva!AA14="","",SUM(Curva!AA$3:AA14))</f>
        <v/>
      </c>
      <c r="AB14" s="43">
        <f>IF(Curva!AB14="","",SUM(Curva!AB$3:AB14))</f>
        <v/>
      </c>
      <c r="AC14" s="43">
        <f>IF(Curva!AC14="","",SUM(Curva!AC$3:AC14))</f>
        <v/>
      </c>
      <c r="AD14" s="43">
        <f>IF(Curva!AD14="","",SUM(Curva!AD$3:AD14))</f>
        <v/>
      </c>
      <c r="AE14" s="43">
        <f>IF(Curva!AE14="","",SUM(Curva!AE$3:AE14))</f>
        <v/>
      </c>
      <c r="AF14" s="43">
        <f>IF(Curva!AF14="","",SUM(Curva!AF$3:AF14))</f>
        <v/>
      </c>
      <c r="AG14" s="43">
        <f>IF(Curva!AG14="","",SUM(Curva!AG$3:AG14))</f>
        <v/>
      </c>
      <c r="AH14" s="43">
        <f>IF(Curva!AH14="","",SUM(Curva!AH$3:AH14))</f>
        <v/>
      </c>
      <c r="AI14" s="43">
        <f>IF(Curva!AI14="","",SUM(Curva!AI$3:AI14))</f>
        <v/>
      </c>
      <c r="AJ14" s="43">
        <f>IF(Curva!AJ14="","",SUM(Curva!AJ$3:AJ14))</f>
        <v/>
      </c>
      <c r="AK14" s="43">
        <f>IF(Curva!AK14="","",SUM(Curva!AK$3:AK14))</f>
        <v/>
      </c>
    </row>
    <row r="15" ht="15" customHeight="1" s="23">
      <c r="A15" s="25" t="n">
        <v>13</v>
      </c>
      <c r="B15" s="43">
        <f>IF(Curva!B15="","",SUM(Curva!B$3:B15))</f>
        <v/>
      </c>
      <c r="C15" s="43">
        <f>IF(Curva!C15="","",SUM(Curva!C$3:C15))</f>
        <v/>
      </c>
      <c r="D15" s="43">
        <f>IF(Curva!D15="","",SUM(Curva!D$3:D15))</f>
        <v/>
      </c>
      <c r="E15" s="43">
        <f>IF(Curva!E15="","",SUM(Curva!E$3:E15))</f>
        <v/>
      </c>
      <c r="F15" s="43">
        <f>IF(Curva!F15="","",SUM(Curva!F$3:F15))</f>
        <v/>
      </c>
      <c r="G15" s="43">
        <f>IF(Curva!G15="","",SUM(Curva!G$3:G15))</f>
        <v/>
      </c>
      <c r="H15" s="43">
        <f>IF(Curva!H15="","",SUM(Curva!H$3:H15))</f>
        <v/>
      </c>
      <c r="I15" s="43">
        <f>IF(Curva!I15="","",SUM(Curva!I$3:I15))</f>
        <v/>
      </c>
      <c r="J15" s="43">
        <f>IF(Curva!J15="","",SUM(Curva!J$3:J15))</f>
        <v/>
      </c>
      <c r="K15" s="43">
        <f>IF(Curva!K15="","",SUM(Curva!K$3:K15))</f>
        <v/>
      </c>
      <c r="L15" s="43">
        <f>IF(Curva!L15="","",SUM(Curva!L$3:L15))</f>
        <v/>
      </c>
      <c r="M15" s="43">
        <f>IF(Curva!M15="","",SUM(Curva!M$3:M15))</f>
        <v/>
      </c>
      <c r="N15" s="43">
        <f>IF(Curva!N15="","",SUM(Curva!N$3:N15))</f>
        <v/>
      </c>
      <c r="O15" s="43">
        <f>IF(Curva!O15="","",SUM(Curva!O$3:O15))</f>
        <v/>
      </c>
      <c r="P15" s="43">
        <f>IF(Curva!P15="","",SUM(Curva!P$3:P15))</f>
        <v/>
      </c>
      <c r="Q15" s="43">
        <f>IF(Curva!Q15="","",SUM(Curva!Q$3:Q15))</f>
        <v/>
      </c>
      <c r="R15" s="43">
        <f>IF(Curva!R15="","",SUM(Curva!R$3:R15))</f>
        <v/>
      </c>
      <c r="S15" s="43">
        <f>IF(Curva!S15="","",SUM(Curva!S$3:S15))</f>
        <v/>
      </c>
      <c r="T15" s="43">
        <f>IF(Curva!T15="","",SUM(Curva!T$3:T15))</f>
        <v/>
      </c>
      <c r="U15" s="43">
        <f>IF(Curva!U15="","",SUM(Curva!U$3:U15))</f>
        <v/>
      </c>
      <c r="V15" s="43">
        <f>IF(Curva!V15="","",SUM(Curva!V$3:V15))</f>
        <v/>
      </c>
      <c r="W15" s="43">
        <f>IF(Curva!W15="","",SUM(Curva!W$3:W15))</f>
        <v/>
      </c>
      <c r="X15" s="43">
        <f>IF(Curva!X15="","",SUM(Curva!X$3:X15))</f>
        <v/>
      </c>
      <c r="Y15" s="43">
        <f>IF(Curva!Y15="","",SUM(Curva!Y$3:Y15))</f>
        <v/>
      </c>
      <c r="Z15" s="43">
        <f>IF(Curva!Z15="","",SUM(Curva!Z$3:Z15))</f>
        <v/>
      </c>
      <c r="AA15" s="43">
        <f>IF(Curva!AA15="","",SUM(Curva!AA$3:AA15))</f>
        <v/>
      </c>
      <c r="AB15" s="43">
        <f>IF(Curva!AB15="","",SUM(Curva!AB$3:AB15))</f>
        <v/>
      </c>
      <c r="AC15" s="43">
        <f>IF(Curva!AC15="","",SUM(Curva!AC$3:AC15))</f>
        <v/>
      </c>
      <c r="AD15" s="43">
        <f>IF(Curva!AD15="","",SUM(Curva!AD$3:AD15))</f>
        <v/>
      </c>
      <c r="AE15" s="43">
        <f>IF(Curva!AE15="","",SUM(Curva!AE$3:AE15))</f>
        <v/>
      </c>
      <c r="AF15" s="43">
        <f>IF(Curva!AF15="","",SUM(Curva!AF$3:AF15))</f>
        <v/>
      </c>
      <c r="AG15" s="43">
        <f>IF(Curva!AG15="","",SUM(Curva!AG$3:AG15))</f>
        <v/>
      </c>
      <c r="AH15" s="43">
        <f>IF(Curva!AH15="","",SUM(Curva!AH$3:AH15))</f>
        <v/>
      </c>
      <c r="AI15" s="43">
        <f>IF(Curva!AI15="","",SUM(Curva!AI$3:AI15))</f>
        <v/>
      </c>
      <c r="AJ15" s="43">
        <f>IF(Curva!AJ15="","",SUM(Curva!AJ$3:AJ15))</f>
        <v/>
      </c>
      <c r="AK15" s="43">
        <f>IF(Curva!AK15="","",SUM(Curva!AK$3:AK15))</f>
        <v/>
      </c>
    </row>
    <row r="16" ht="15" customHeight="1" s="23">
      <c r="A16" s="25" t="n">
        <v>14</v>
      </c>
      <c r="B16" s="43">
        <f>IF(Curva!B16="","",SUM(Curva!B$3:B16))</f>
        <v/>
      </c>
      <c r="C16" s="43">
        <f>IF(Curva!C16="","",SUM(Curva!C$3:C16))</f>
        <v/>
      </c>
      <c r="D16" s="43">
        <f>IF(Curva!D16="","",SUM(Curva!D$3:D16))</f>
        <v/>
      </c>
      <c r="E16" s="43">
        <f>IF(Curva!E16="","",SUM(Curva!E$3:E16))</f>
        <v/>
      </c>
      <c r="F16" s="43">
        <f>IF(Curva!F16="","",SUM(Curva!F$3:F16))</f>
        <v/>
      </c>
      <c r="G16" s="43">
        <f>IF(Curva!G16="","",SUM(Curva!G$3:G16))</f>
        <v/>
      </c>
      <c r="H16" s="43">
        <f>IF(Curva!H16="","",SUM(Curva!H$3:H16))</f>
        <v/>
      </c>
      <c r="I16" s="43">
        <f>IF(Curva!I16="","",SUM(Curva!I$3:I16))</f>
        <v/>
      </c>
      <c r="J16" s="43">
        <f>IF(Curva!J16="","",SUM(Curva!J$3:J16))</f>
        <v/>
      </c>
      <c r="K16" s="43">
        <f>IF(Curva!K16="","",SUM(Curva!K$3:K16))</f>
        <v/>
      </c>
      <c r="L16" s="43">
        <f>IF(Curva!L16="","",SUM(Curva!L$3:L16))</f>
        <v/>
      </c>
      <c r="M16" s="43">
        <f>IF(Curva!M16="","",SUM(Curva!M$3:M16))</f>
        <v/>
      </c>
      <c r="N16" s="43">
        <f>IF(Curva!N16="","",SUM(Curva!N$3:N16))</f>
        <v/>
      </c>
      <c r="O16" s="43">
        <f>IF(Curva!O16="","",SUM(Curva!O$3:O16))</f>
        <v/>
      </c>
      <c r="P16" s="43">
        <f>IF(Curva!P16="","",SUM(Curva!P$3:P16))</f>
        <v/>
      </c>
      <c r="Q16" s="43">
        <f>IF(Curva!Q16="","",SUM(Curva!Q$3:Q16))</f>
        <v/>
      </c>
      <c r="R16" s="43">
        <f>IF(Curva!R16="","",SUM(Curva!R$3:R16))</f>
        <v/>
      </c>
      <c r="S16" s="43">
        <f>IF(Curva!S16="","",SUM(Curva!S$3:S16))</f>
        <v/>
      </c>
      <c r="T16" s="43">
        <f>IF(Curva!T16="","",SUM(Curva!T$3:T16))</f>
        <v/>
      </c>
      <c r="U16" s="43">
        <f>IF(Curva!U16="","",SUM(Curva!U$3:U16))</f>
        <v/>
      </c>
      <c r="V16" s="43">
        <f>IF(Curva!V16="","",SUM(Curva!V$3:V16))</f>
        <v/>
      </c>
      <c r="W16" s="43">
        <f>IF(Curva!W16="","",SUM(Curva!W$3:W16))</f>
        <v/>
      </c>
      <c r="X16" s="43">
        <f>IF(Curva!X16="","",SUM(Curva!X$3:X16))</f>
        <v/>
      </c>
      <c r="Y16" s="43">
        <f>IF(Curva!Y16="","",SUM(Curva!Y$3:Y16))</f>
        <v/>
      </c>
      <c r="Z16" s="43">
        <f>IF(Curva!Z16="","",SUM(Curva!Z$3:Z16))</f>
        <v/>
      </c>
      <c r="AA16" s="43">
        <f>IF(Curva!AA16="","",SUM(Curva!AA$3:AA16))</f>
        <v/>
      </c>
      <c r="AB16" s="43">
        <f>IF(Curva!AB16="","",SUM(Curva!AB$3:AB16))</f>
        <v/>
      </c>
      <c r="AC16" s="43">
        <f>IF(Curva!AC16="","",SUM(Curva!AC$3:AC16))</f>
        <v/>
      </c>
      <c r="AD16" s="43">
        <f>IF(Curva!AD16="","",SUM(Curva!AD$3:AD16))</f>
        <v/>
      </c>
      <c r="AE16" s="43">
        <f>IF(Curva!AE16="","",SUM(Curva!AE$3:AE16))</f>
        <v/>
      </c>
      <c r="AF16" s="43">
        <f>IF(Curva!AF16="","",SUM(Curva!AF$3:AF16))</f>
        <v/>
      </c>
      <c r="AG16" s="43">
        <f>IF(Curva!AG16="","",SUM(Curva!AG$3:AG16))</f>
        <v/>
      </c>
      <c r="AH16" s="43">
        <f>IF(Curva!AH16="","",SUM(Curva!AH$3:AH16))</f>
        <v/>
      </c>
      <c r="AI16" s="43">
        <f>IF(Curva!AI16="","",SUM(Curva!AI$3:AI16))</f>
        <v/>
      </c>
      <c r="AJ16" s="43">
        <f>IF(Curva!AJ16="","",SUM(Curva!AJ$3:AJ16))</f>
        <v/>
      </c>
      <c r="AK16" s="43">
        <f>IF(Curva!AK16="","",SUM(Curva!AK$3:AK16))</f>
        <v/>
      </c>
    </row>
    <row r="17" ht="15" customHeight="1" s="23">
      <c r="A17" s="25" t="n">
        <v>15</v>
      </c>
      <c r="B17" s="43">
        <f>IF(Curva!B17="","",SUM(Curva!B$3:B17))</f>
        <v/>
      </c>
      <c r="C17" s="43">
        <f>IF(Curva!C17="","",SUM(Curva!C$3:C17))</f>
        <v/>
      </c>
      <c r="D17" s="43">
        <f>IF(Curva!D17="","",SUM(Curva!D$3:D17))</f>
        <v/>
      </c>
      <c r="E17" s="43">
        <f>IF(Curva!E17="","",SUM(Curva!E$3:E17))</f>
        <v/>
      </c>
      <c r="F17" s="43">
        <f>IF(Curva!F17="","",SUM(Curva!F$3:F17))</f>
        <v/>
      </c>
      <c r="G17" s="43">
        <f>IF(Curva!G17="","",SUM(Curva!G$3:G17))</f>
        <v/>
      </c>
      <c r="H17" s="43">
        <f>IF(Curva!H17="","",SUM(Curva!H$3:H17))</f>
        <v/>
      </c>
      <c r="I17" s="43">
        <f>IF(Curva!I17="","",SUM(Curva!I$3:I17))</f>
        <v/>
      </c>
      <c r="J17" s="43">
        <f>IF(Curva!J17="","",SUM(Curva!J$3:J17))</f>
        <v/>
      </c>
      <c r="K17" s="43">
        <f>IF(Curva!K17="","",SUM(Curva!K$3:K17))</f>
        <v/>
      </c>
      <c r="L17" s="43">
        <f>IF(Curva!L17="","",SUM(Curva!L$3:L17))</f>
        <v/>
      </c>
      <c r="M17" s="43">
        <f>IF(Curva!M17="","",SUM(Curva!M$3:M17))</f>
        <v/>
      </c>
      <c r="N17" s="43">
        <f>IF(Curva!N17="","",SUM(Curva!N$3:N17))</f>
        <v/>
      </c>
      <c r="O17" s="43">
        <f>IF(Curva!O17="","",SUM(Curva!O$3:O17))</f>
        <v/>
      </c>
      <c r="P17" s="43">
        <f>IF(Curva!P17="","",SUM(Curva!P$3:P17))</f>
        <v/>
      </c>
      <c r="Q17" s="43">
        <f>IF(Curva!Q17="","",SUM(Curva!Q$3:Q17))</f>
        <v/>
      </c>
      <c r="R17" s="43">
        <f>IF(Curva!R17="","",SUM(Curva!R$3:R17))</f>
        <v/>
      </c>
      <c r="S17" s="43">
        <f>IF(Curva!S17="","",SUM(Curva!S$3:S17))</f>
        <v/>
      </c>
      <c r="T17" s="43">
        <f>IF(Curva!T17="","",SUM(Curva!T$3:T17))</f>
        <v/>
      </c>
      <c r="U17" s="43">
        <f>IF(Curva!U17="","",SUM(Curva!U$3:U17))</f>
        <v/>
      </c>
      <c r="V17" s="43">
        <f>IF(Curva!V17="","",SUM(Curva!V$3:V17))</f>
        <v/>
      </c>
      <c r="W17" s="43">
        <f>IF(Curva!W17="","",SUM(Curva!W$3:W17))</f>
        <v/>
      </c>
      <c r="X17" s="43">
        <f>IF(Curva!X17="","",SUM(Curva!X$3:X17))</f>
        <v/>
      </c>
      <c r="Y17" s="43">
        <f>IF(Curva!Y17="","",SUM(Curva!Y$3:Y17))</f>
        <v/>
      </c>
      <c r="Z17" s="43">
        <f>IF(Curva!Z17="","",SUM(Curva!Z$3:Z17))</f>
        <v/>
      </c>
      <c r="AA17" s="43">
        <f>IF(Curva!AA17="","",SUM(Curva!AA$3:AA17))</f>
        <v/>
      </c>
      <c r="AB17" s="43">
        <f>IF(Curva!AB17="","",SUM(Curva!AB$3:AB17))</f>
        <v/>
      </c>
      <c r="AC17" s="43">
        <f>IF(Curva!AC17="","",SUM(Curva!AC$3:AC17))</f>
        <v/>
      </c>
      <c r="AD17" s="43">
        <f>IF(Curva!AD17="","",SUM(Curva!AD$3:AD17))</f>
        <v/>
      </c>
      <c r="AE17" s="43">
        <f>IF(Curva!AE17="","",SUM(Curva!AE$3:AE17))</f>
        <v/>
      </c>
      <c r="AF17" s="43">
        <f>IF(Curva!AF17="","",SUM(Curva!AF$3:AF17))</f>
        <v/>
      </c>
      <c r="AG17" s="43">
        <f>IF(Curva!AG17="","",SUM(Curva!AG$3:AG17))</f>
        <v/>
      </c>
      <c r="AH17" s="43">
        <f>IF(Curva!AH17="","",SUM(Curva!AH$3:AH17))</f>
        <v/>
      </c>
      <c r="AI17" s="43">
        <f>IF(Curva!AI17="","",SUM(Curva!AI$3:AI17))</f>
        <v/>
      </c>
      <c r="AJ17" s="43">
        <f>IF(Curva!AJ17="","",SUM(Curva!AJ$3:AJ17))</f>
        <v/>
      </c>
      <c r="AK17" s="43">
        <f>IF(Curva!AK17="","",SUM(Curva!AK$3:AK17))</f>
        <v/>
      </c>
    </row>
    <row r="18" ht="15" customHeight="1" s="23">
      <c r="A18" s="25" t="n">
        <v>16</v>
      </c>
      <c r="B18" s="43">
        <f>IF(Curva!B18="","",SUM(Curva!B$3:B18))</f>
        <v/>
      </c>
      <c r="C18" s="43">
        <f>IF(Curva!C18="","",SUM(Curva!C$3:C18))</f>
        <v/>
      </c>
      <c r="D18" s="43">
        <f>IF(Curva!D18="","",SUM(Curva!D$3:D18))</f>
        <v/>
      </c>
      <c r="E18" s="43">
        <f>IF(Curva!E18="","",SUM(Curva!E$3:E18))</f>
        <v/>
      </c>
      <c r="F18" s="43">
        <f>IF(Curva!F18="","",SUM(Curva!F$3:F18))</f>
        <v/>
      </c>
      <c r="G18" s="43">
        <f>IF(Curva!G18="","",SUM(Curva!G$3:G18))</f>
        <v/>
      </c>
      <c r="H18" s="43">
        <f>IF(Curva!H18="","",SUM(Curva!H$3:H18))</f>
        <v/>
      </c>
      <c r="I18" s="43">
        <f>IF(Curva!I18="","",SUM(Curva!I$3:I18))</f>
        <v/>
      </c>
      <c r="J18" s="43">
        <f>IF(Curva!J18="","",SUM(Curva!J$3:J18))</f>
        <v/>
      </c>
      <c r="K18" s="43">
        <f>IF(Curva!K18="","",SUM(Curva!K$3:K18))</f>
        <v/>
      </c>
      <c r="L18" s="43">
        <f>IF(Curva!L18="","",SUM(Curva!L$3:L18))</f>
        <v/>
      </c>
      <c r="M18" s="43">
        <f>IF(Curva!M18="","",SUM(Curva!M$3:M18))</f>
        <v/>
      </c>
      <c r="N18" s="43">
        <f>IF(Curva!N18="","",SUM(Curva!N$3:N18))</f>
        <v/>
      </c>
      <c r="O18" s="43">
        <f>IF(Curva!O18="","",SUM(Curva!O$3:O18))</f>
        <v/>
      </c>
      <c r="P18" s="43">
        <f>IF(Curva!P18="","",SUM(Curva!P$3:P18))</f>
        <v/>
      </c>
      <c r="Q18" s="43">
        <f>IF(Curva!Q18="","",SUM(Curva!Q$3:Q18))</f>
        <v/>
      </c>
      <c r="R18" s="43">
        <f>IF(Curva!R18="","",SUM(Curva!R$3:R18))</f>
        <v/>
      </c>
      <c r="S18" s="43">
        <f>IF(Curva!S18="","",SUM(Curva!S$3:S18))</f>
        <v/>
      </c>
      <c r="T18" s="43">
        <f>IF(Curva!T18="","",SUM(Curva!T$3:T18))</f>
        <v/>
      </c>
      <c r="U18" s="43">
        <f>IF(Curva!U18="","",SUM(Curva!U$3:U18))</f>
        <v/>
      </c>
      <c r="V18" s="43">
        <f>IF(Curva!V18="","",SUM(Curva!V$3:V18))</f>
        <v/>
      </c>
      <c r="W18" s="43">
        <f>IF(Curva!W18="","",SUM(Curva!W$3:W18))</f>
        <v/>
      </c>
      <c r="X18" s="43">
        <f>IF(Curva!X18="","",SUM(Curva!X$3:X18))</f>
        <v/>
      </c>
      <c r="Y18" s="43">
        <f>IF(Curva!Y18="","",SUM(Curva!Y$3:Y18))</f>
        <v/>
      </c>
      <c r="Z18" s="43">
        <f>IF(Curva!Z18="","",SUM(Curva!Z$3:Z18))</f>
        <v/>
      </c>
      <c r="AA18" s="43">
        <f>IF(Curva!AA18="","",SUM(Curva!AA$3:AA18))</f>
        <v/>
      </c>
      <c r="AB18" s="43">
        <f>IF(Curva!AB18="","",SUM(Curva!AB$3:AB18))</f>
        <v/>
      </c>
      <c r="AC18" s="43">
        <f>IF(Curva!AC18="","",SUM(Curva!AC$3:AC18))</f>
        <v/>
      </c>
      <c r="AD18" s="43">
        <f>IF(Curva!AD18="","",SUM(Curva!AD$3:AD18))</f>
        <v/>
      </c>
      <c r="AE18" s="43">
        <f>IF(Curva!AE18="","",SUM(Curva!AE$3:AE18))</f>
        <v/>
      </c>
      <c r="AF18" s="43">
        <f>IF(Curva!AF18="","",SUM(Curva!AF$3:AF18))</f>
        <v/>
      </c>
      <c r="AG18" s="43">
        <f>IF(Curva!AG18="","",SUM(Curva!AG$3:AG18))</f>
        <v/>
      </c>
      <c r="AH18" s="43">
        <f>IF(Curva!AH18="","",SUM(Curva!AH$3:AH18))</f>
        <v/>
      </c>
      <c r="AI18" s="43">
        <f>IF(Curva!AI18="","",SUM(Curva!AI$3:AI18))</f>
        <v/>
      </c>
      <c r="AJ18" s="43">
        <f>IF(Curva!AJ18="","",SUM(Curva!AJ$3:AJ18))</f>
        <v/>
      </c>
      <c r="AK18" s="43">
        <f>IF(Curva!AK18="","",SUM(Curva!AK$3:AK18))</f>
        <v/>
      </c>
    </row>
    <row r="19" ht="15" customHeight="1" s="23">
      <c r="A19" s="25" t="n">
        <v>17</v>
      </c>
      <c r="B19" s="43">
        <f>IF(Curva!B19="","",SUM(Curva!B$3:B19))</f>
        <v/>
      </c>
      <c r="C19" s="43">
        <f>IF(Curva!C19="","",SUM(Curva!C$3:C19))</f>
        <v/>
      </c>
      <c r="D19" s="43">
        <f>IF(Curva!D19="","",SUM(Curva!D$3:D19))</f>
        <v/>
      </c>
      <c r="E19" s="43">
        <f>IF(Curva!E19="","",SUM(Curva!E$3:E19))</f>
        <v/>
      </c>
      <c r="F19" s="43">
        <f>IF(Curva!F19="","",SUM(Curva!F$3:F19))</f>
        <v/>
      </c>
      <c r="G19" s="43">
        <f>IF(Curva!G19="","",SUM(Curva!G$3:G19))</f>
        <v/>
      </c>
      <c r="H19" s="43">
        <f>IF(Curva!H19="","",SUM(Curva!H$3:H19))</f>
        <v/>
      </c>
      <c r="I19" s="43">
        <f>IF(Curva!I19="","",SUM(Curva!I$3:I19))</f>
        <v/>
      </c>
      <c r="J19" s="43">
        <f>IF(Curva!J19="","",SUM(Curva!J$3:J19))</f>
        <v/>
      </c>
      <c r="K19" s="43">
        <f>IF(Curva!K19="","",SUM(Curva!K$3:K19))</f>
        <v/>
      </c>
      <c r="L19" s="43">
        <f>IF(Curva!L19="","",SUM(Curva!L$3:L19))</f>
        <v/>
      </c>
      <c r="M19" s="43">
        <f>IF(Curva!M19="","",SUM(Curva!M$3:M19))</f>
        <v/>
      </c>
      <c r="N19" s="43">
        <f>IF(Curva!N19="","",SUM(Curva!N$3:N19))</f>
        <v/>
      </c>
      <c r="O19" s="43">
        <f>IF(Curva!O19="","",SUM(Curva!O$3:O19))</f>
        <v/>
      </c>
      <c r="P19" s="43">
        <f>IF(Curva!P19="","",SUM(Curva!P$3:P19))</f>
        <v/>
      </c>
      <c r="Q19" s="43">
        <f>IF(Curva!Q19="","",SUM(Curva!Q$3:Q19))</f>
        <v/>
      </c>
      <c r="R19" s="43">
        <f>IF(Curva!R19="","",SUM(Curva!R$3:R19))</f>
        <v/>
      </c>
      <c r="S19" s="43">
        <f>IF(Curva!S19="","",SUM(Curva!S$3:S19))</f>
        <v/>
      </c>
      <c r="T19" s="43">
        <f>IF(Curva!T19="","",SUM(Curva!T$3:T19))</f>
        <v/>
      </c>
      <c r="U19" s="43">
        <f>IF(Curva!U19="","",SUM(Curva!U$3:U19))</f>
        <v/>
      </c>
      <c r="V19" s="43">
        <f>IF(Curva!V19="","",SUM(Curva!V$3:V19))</f>
        <v/>
      </c>
      <c r="W19" s="43">
        <f>IF(Curva!W19="","",SUM(Curva!W$3:W19))</f>
        <v/>
      </c>
      <c r="X19" s="43">
        <f>IF(Curva!X19="","",SUM(Curva!X$3:X19))</f>
        <v/>
      </c>
      <c r="Y19" s="43">
        <f>IF(Curva!Y19="","",SUM(Curva!Y$3:Y19))</f>
        <v/>
      </c>
      <c r="Z19" s="43">
        <f>IF(Curva!Z19="","",SUM(Curva!Z$3:Z19))</f>
        <v/>
      </c>
      <c r="AA19" s="43">
        <f>IF(Curva!AA19="","",SUM(Curva!AA$3:AA19))</f>
        <v/>
      </c>
      <c r="AB19" s="43">
        <f>IF(Curva!AB19="","",SUM(Curva!AB$3:AB19))</f>
        <v/>
      </c>
      <c r="AC19" s="43">
        <f>IF(Curva!AC19="","",SUM(Curva!AC$3:AC19))</f>
        <v/>
      </c>
      <c r="AD19" s="43">
        <f>IF(Curva!AD19="","",SUM(Curva!AD$3:AD19))</f>
        <v/>
      </c>
      <c r="AE19" s="43">
        <f>IF(Curva!AE19="","",SUM(Curva!AE$3:AE19))</f>
        <v/>
      </c>
      <c r="AF19" s="43">
        <f>IF(Curva!AF19="","",SUM(Curva!AF$3:AF19))</f>
        <v/>
      </c>
      <c r="AG19" s="43">
        <f>IF(Curva!AG19="","",SUM(Curva!AG$3:AG19))</f>
        <v/>
      </c>
      <c r="AH19" s="43">
        <f>IF(Curva!AH19="","",SUM(Curva!AH$3:AH19))</f>
        <v/>
      </c>
      <c r="AI19" s="43">
        <f>IF(Curva!AI19="","",SUM(Curva!AI$3:AI19))</f>
        <v/>
      </c>
      <c r="AJ19" s="43">
        <f>IF(Curva!AJ19="","",SUM(Curva!AJ$3:AJ19))</f>
        <v/>
      </c>
      <c r="AK19" s="43">
        <f>IF(Curva!AK19="","",SUM(Curva!AK$3:AK19))</f>
        <v/>
      </c>
    </row>
    <row r="20" ht="15" customHeight="1" s="23">
      <c r="A20" s="25" t="n">
        <v>18</v>
      </c>
      <c r="B20" s="43">
        <f>IF(Curva!B20="","",SUM(Curva!B$3:B20))</f>
        <v/>
      </c>
      <c r="C20" s="43">
        <f>IF(Curva!C20="","",SUM(Curva!C$3:C20))</f>
        <v/>
      </c>
      <c r="D20" s="43">
        <f>IF(Curva!D20="","",SUM(Curva!D$3:D20))</f>
        <v/>
      </c>
      <c r="E20" s="43">
        <f>IF(Curva!E20="","",SUM(Curva!E$3:E20))</f>
        <v/>
      </c>
      <c r="F20" s="43">
        <f>IF(Curva!F20="","",SUM(Curva!F$3:F20))</f>
        <v/>
      </c>
      <c r="G20" s="43">
        <f>IF(Curva!G20="","",SUM(Curva!G$3:G20))</f>
        <v/>
      </c>
      <c r="H20" s="43">
        <f>IF(Curva!H20="","",SUM(Curva!H$3:H20))</f>
        <v/>
      </c>
      <c r="I20" s="43">
        <f>IF(Curva!I20="","",SUM(Curva!I$3:I20))</f>
        <v/>
      </c>
      <c r="J20" s="43">
        <f>IF(Curva!J20="","",SUM(Curva!J$3:J20))</f>
        <v/>
      </c>
      <c r="K20" s="43">
        <f>IF(Curva!K20="","",SUM(Curva!K$3:K20))</f>
        <v/>
      </c>
      <c r="L20" s="43">
        <f>IF(Curva!L20="","",SUM(Curva!L$3:L20))</f>
        <v/>
      </c>
      <c r="M20" s="43">
        <f>IF(Curva!M20="","",SUM(Curva!M$3:M20))</f>
        <v/>
      </c>
      <c r="N20" s="43">
        <f>IF(Curva!N20="","",SUM(Curva!N$3:N20))</f>
        <v/>
      </c>
      <c r="O20" s="43">
        <f>IF(Curva!O20="","",SUM(Curva!O$3:O20))</f>
        <v/>
      </c>
      <c r="P20" s="43">
        <f>IF(Curva!P20="","",SUM(Curva!P$3:P20))</f>
        <v/>
      </c>
      <c r="Q20" s="43">
        <f>IF(Curva!Q20="","",SUM(Curva!Q$3:Q20))</f>
        <v/>
      </c>
      <c r="R20" s="43">
        <f>IF(Curva!R20="","",SUM(Curva!R$3:R20))</f>
        <v/>
      </c>
      <c r="S20" s="43">
        <f>IF(Curva!S20="","",SUM(Curva!S$3:S20))</f>
        <v/>
      </c>
      <c r="T20" s="43">
        <f>IF(Curva!T20="","",SUM(Curva!T$3:T20))</f>
        <v/>
      </c>
      <c r="U20" s="43">
        <f>IF(Curva!U20="","",SUM(Curva!U$3:U20))</f>
        <v/>
      </c>
      <c r="V20" s="43">
        <f>IF(Curva!V20="","",SUM(Curva!V$3:V20))</f>
        <v/>
      </c>
      <c r="W20" s="43">
        <f>IF(Curva!W20="","",SUM(Curva!W$3:W20))</f>
        <v/>
      </c>
      <c r="X20" s="43">
        <f>IF(Curva!X20="","",SUM(Curva!X$3:X20))</f>
        <v/>
      </c>
      <c r="Y20" s="43">
        <f>IF(Curva!Y20="","",SUM(Curva!Y$3:Y20))</f>
        <v/>
      </c>
      <c r="Z20" s="43">
        <f>IF(Curva!Z20="","",SUM(Curva!Z$3:Z20))</f>
        <v/>
      </c>
      <c r="AA20" s="43">
        <f>IF(Curva!AA20="","",SUM(Curva!AA$3:AA20))</f>
        <v/>
      </c>
      <c r="AB20" s="43">
        <f>IF(Curva!AB20="","",SUM(Curva!AB$3:AB20))</f>
        <v/>
      </c>
      <c r="AC20" s="43">
        <f>IF(Curva!AC20="","",SUM(Curva!AC$3:AC20))</f>
        <v/>
      </c>
      <c r="AD20" s="43">
        <f>IF(Curva!AD20="","",SUM(Curva!AD$3:AD20))</f>
        <v/>
      </c>
      <c r="AE20" s="43">
        <f>IF(Curva!AE20="","",SUM(Curva!AE$3:AE20))</f>
        <v/>
      </c>
      <c r="AF20" s="43">
        <f>IF(Curva!AF20="","",SUM(Curva!AF$3:AF20))</f>
        <v/>
      </c>
      <c r="AG20" s="43">
        <f>IF(Curva!AG20="","",SUM(Curva!AG$3:AG20))</f>
        <v/>
      </c>
      <c r="AH20" s="43">
        <f>IF(Curva!AH20="","",SUM(Curva!AH$3:AH20))</f>
        <v/>
      </c>
      <c r="AI20" s="43">
        <f>IF(Curva!AI20="","",SUM(Curva!AI$3:AI20))</f>
        <v/>
      </c>
      <c r="AJ20" s="43">
        <f>IF(Curva!AJ20="","",SUM(Curva!AJ$3:AJ20))</f>
        <v/>
      </c>
      <c r="AK20" s="43">
        <f>IF(Curva!AK20="","",SUM(Curva!AK$3:AK20))</f>
        <v/>
      </c>
    </row>
    <row r="21" ht="15" customHeight="1" s="23">
      <c r="A21" s="25" t="n">
        <v>19</v>
      </c>
      <c r="B21" s="43">
        <f>IF(Curva!B21="","",SUM(Curva!B$3:B21))</f>
        <v/>
      </c>
      <c r="C21" s="43">
        <f>IF(Curva!C21="","",SUM(Curva!C$3:C21))</f>
        <v/>
      </c>
      <c r="D21" s="43">
        <f>IF(Curva!D21="","",SUM(Curva!D$3:D21))</f>
        <v/>
      </c>
      <c r="E21" s="43">
        <f>IF(Curva!E21="","",SUM(Curva!E$3:E21))</f>
        <v/>
      </c>
      <c r="F21" s="43">
        <f>IF(Curva!F21="","",SUM(Curva!F$3:F21))</f>
        <v/>
      </c>
      <c r="G21" s="43">
        <f>IF(Curva!G21="","",SUM(Curva!G$3:G21))</f>
        <v/>
      </c>
      <c r="H21" s="43">
        <f>IF(Curva!H21="","",SUM(Curva!H$3:H21))</f>
        <v/>
      </c>
      <c r="I21" s="43">
        <f>IF(Curva!I21="","",SUM(Curva!I$3:I21))</f>
        <v/>
      </c>
      <c r="J21" s="43">
        <f>IF(Curva!J21="","",SUM(Curva!J$3:J21))</f>
        <v/>
      </c>
      <c r="K21" s="43">
        <f>IF(Curva!K21="","",SUM(Curva!K$3:K21))</f>
        <v/>
      </c>
      <c r="L21" s="43">
        <f>IF(Curva!L21="","",SUM(Curva!L$3:L21))</f>
        <v/>
      </c>
      <c r="M21" s="43">
        <f>IF(Curva!M21="","",SUM(Curva!M$3:M21))</f>
        <v/>
      </c>
      <c r="N21" s="43">
        <f>IF(Curva!N21="","",SUM(Curva!N$3:N21))</f>
        <v/>
      </c>
      <c r="O21" s="43">
        <f>IF(Curva!O21="","",SUM(Curva!O$3:O21))</f>
        <v/>
      </c>
      <c r="P21" s="43">
        <f>IF(Curva!P21="","",SUM(Curva!P$3:P21))</f>
        <v/>
      </c>
      <c r="Q21" s="43">
        <f>IF(Curva!Q21="","",SUM(Curva!Q$3:Q21))</f>
        <v/>
      </c>
      <c r="R21" s="43">
        <f>IF(Curva!R21="","",SUM(Curva!R$3:R21))</f>
        <v/>
      </c>
      <c r="S21" s="43">
        <f>IF(Curva!S21="","",SUM(Curva!S$3:S21))</f>
        <v/>
      </c>
      <c r="T21" s="43">
        <f>IF(Curva!T21="","",SUM(Curva!T$3:T21))</f>
        <v/>
      </c>
      <c r="U21" s="43">
        <f>IF(Curva!U21="","",SUM(Curva!U$3:U21))</f>
        <v/>
      </c>
      <c r="V21" s="43">
        <f>IF(Curva!V21="","",SUM(Curva!V$3:V21))</f>
        <v/>
      </c>
      <c r="W21" s="43">
        <f>IF(Curva!W21="","",SUM(Curva!W$3:W21))</f>
        <v/>
      </c>
      <c r="X21" s="43">
        <f>IF(Curva!X21="","",SUM(Curva!X$3:X21))</f>
        <v/>
      </c>
      <c r="Y21" s="43">
        <f>IF(Curva!Y21="","",SUM(Curva!Y$3:Y21))</f>
        <v/>
      </c>
      <c r="Z21" s="43">
        <f>IF(Curva!Z21="","",SUM(Curva!Z$3:Z21))</f>
        <v/>
      </c>
      <c r="AA21" s="43">
        <f>IF(Curva!AA21="","",SUM(Curva!AA$3:AA21))</f>
        <v/>
      </c>
      <c r="AB21" s="43">
        <f>IF(Curva!AB21="","",SUM(Curva!AB$3:AB21))</f>
        <v/>
      </c>
      <c r="AC21" s="43">
        <f>IF(Curva!AC21="","",SUM(Curva!AC$3:AC21))</f>
        <v/>
      </c>
      <c r="AD21" s="43">
        <f>IF(Curva!AD21="","",SUM(Curva!AD$3:AD21))</f>
        <v/>
      </c>
      <c r="AE21" s="43">
        <f>IF(Curva!AE21="","",SUM(Curva!AE$3:AE21))</f>
        <v/>
      </c>
      <c r="AF21" s="43">
        <f>IF(Curva!AF21="","",SUM(Curva!AF$3:AF21))</f>
        <v/>
      </c>
      <c r="AG21" s="43">
        <f>IF(Curva!AG21="","",SUM(Curva!AG$3:AG21))</f>
        <v/>
      </c>
      <c r="AH21" s="43">
        <f>IF(Curva!AH21="","",SUM(Curva!AH$3:AH21))</f>
        <v/>
      </c>
      <c r="AI21" s="43">
        <f>IF(Curva!AI21="","",SUM(Curva!AI$3:AI21))</f>
        <v/>
      </c>
      <c r="AJ21" s="43">
        <f>IF(Curva!AJ21="","",SUM(Curva!AJ$3:AJ21))</f>
        <v/>
      </c>
      <c r="AK21" s="43">
        <f>IF(Curva!AK21="","",SUM(Curva!AK$3:AK21))</f>
        <v/>
      </c>
    </row>
    <row r="22" ht="15" customHeight="1" s="23">
      <c r="A22" s="25" t="n">
        <v>20</v>
      </c>
      <c r="B22" s="43">
        <f>IF(Curva!B22="","",SUM(Curva!B$3:B22))</f>
        <v/>
      </c>
      <c r="C22" s="43">
        <f>IF(Curva!C22="","",SUM(Curva!C$3:C22))</f>
        <v/>
      </c>
      <c r="D22" s="43">
        <f>IF(Curva!D22="","",SUM(Curva!D$3:D22))</f>
        <v/>
      </c>
      <c r="E22" s="43">
        <f>IF(Curva!E22="","",SUM(Curva!E$3:E22))</f>
        <v/>
      </c>
      <c r="F22" s="43">
        <f>IF(Curva!F22="","",SUM(Curva!F$3:F22))</f>
        <v/>
      </c>
      <c r="G22" s="43">
        <f>IF(Curva!G22="","",SUM(Curva!G$3:G22))</f>
        <v/>
      </c>
      <c r="H22" s="43">
        <f>IF(Curva!H22="","",SUM(Curva!H$3:H22))</f>
        <v/>
      </c>
      <c r="I22" s="43">
        <f>IF(Curva!I22="","",SUM(Curva!I$3:I22))</f>
        <v/>
      </c>
      <c r="J22" s="43">
        <f>IF(Curva!J22="","",SUM(Curva!J$3:J22))</f>
        <v/>
      </c>
      <c r="K22" s="43">
        <f>IF(Curva!K22="","",SUM(Curva!K$3:K22))</f>
        <v/>
      </c>
      <c r="L22" s="43">
        <f>IF(Curva!L22="","",SUM(Curva!L$3:L22))</f>
        <v/>
      </c>
      <c r="M22" s="43">
        <f>IF(Curva!M22="","",SUM(Curva!M$3:M22))</f>
        <v/>
      </c>
      <c r="N22" s="43">
        <f>IF(Curva!N22="","",SUM(Curva!N$3:N22))</f>
        <v/>
      </c>
      <c r="O22" s="43">
        <f>IF(Curva!O22="","",SUM(Curva!O$3:O22))</f>
        <v/>
      </c>
      <c r="P22" s="43">
        <f>IF(Curva!P22="","",SUM(Curva!P$3:P22))</f>
        <v/>
      </c>
      <c r="Q22" s="43">
        <f>IF(Curva!Q22="","",SUM(Curva!Q$3:Q22))</f>
        <v/>
      </c>
      <c r="R22" s="43">
        <f>IF(Curva!R22="","",SUM(Curva!R$3:R22))</f>
        <v/>
      </c>
      <c r="S22" s="43">
        <f>IF(Curva!S22="","",SUM(Curva!S$3:S22))</f>
        <v/>
      </c>
      <c r="T22" s="43">
        <f>IF(Curva!T22="","",SUM(Curva!T$3:T22))</f>
        <v/>
      </c>
      <c r="U22" s="43">
        <f>IF(Curva!U22="","",SUM(Curva!U$3:U22))</f>
        <v/>
      </c>
      <c r="V22" s="43">
        <f>IF(Curva!V22="","",SUM(Curva!V$3:V22))</f>
        <v/>
      </c>
      <c r="W22" s="43">
        <f>IF(Curva!W22="","",SUM(Curva!W$3:W22))</f>
        <v/>
      </c>
      <c r="X22" s="43">
        <f>IF(Curva!X22="","",SUM(Curva!X$3:X22))</f>
        <v/>
      </c>
      <c r="Y22" s="43">
        <f>IF(Curva!Y22="","",SUM(Curva!Y$3:Y22))</f>
        <v/>
      </c>
      <c r="Z22" s="43">
        <f>IF(Curva!Z22="","",SUM(Curva!Z$3:Z22))</f>
        <v/>
      </c>
      <c r="AA22" s="43">
        <f>IF(Curva!AA22="","",SUM(Curva!AA$3:AA22))</f>
        <v/>
      </c>
      <c r="AB22" s="43">
        <f>IF(Curva!AB22="","",SUM(Curva!AB$3:AB22))</f>
        <v/>
      </c>
      <c r="AC22" s="43">
        <f>IF(Curva!AC22="","",SUM(Curva!AC$3:AC22))</f>
        <v/>
      </c>
      <c r="AD22" s="43">
        <f>IF(Curva!AD22="","",SUM(Curva!AD$3:AD22))</f>
        <v/>
      </c>
      <c r="AE22" s="43">
        <f>IF(Curva!AE22="","",SUM(Curva!AE$3:AE22))</f>
        <v/>
      </c>
      <c r="AF22" s="43">
        <f>IF(Curva!AF22="","",SUM(Curva!AF$3:AF22))</f>
        <v/>
      </c>
      <c r="AG22" s="43">
        <f>IF(Curva!AG22="","",SUM(Curva!AG$3:AG22))</f>
        <v/>
      </c>
      <c r="AH22" s="43">
        <f>IF(Curva!AH22="","",SUM(Curva!AH$3:AH22))</f>
        <v/>
      </c>
      <c r="AI22" s="43">
        <f>IF(Curva!AI22="","",SUM(Curva!AI$3:AI22))</f>
        <v/>
      </c>
      <c r="AJ22" s="43">
        <f>IF(Curva!AJ22="","",SUM(Curva!AJ$3:AJ22))</f>
        <v/>
      </c>
      <c r="AK22" s="43">
        <f>IF(Curva!AK22="","",SUM(Curva!AK$3:AK22))</f>
        <v/>
      </c>
    </row>
    <row r="23" ht="15" customHeight="1" s="23">
      <c r="A23" s="25" t="n">
        <v>21</v>
      </c>
      <c r="B23" s="43">
        <f>IF(Curva!B23="","",SUM(Curva!B$3:B23))</f>
        <v/>
      </c>
      <c r="C23" s="43">
        <f>IF(Curva!C23="","",SUM(Curva!C$3:C23))</f>
        <v/>
      </c>
      <c r="D23" s="43">
        <f>IF(Curva!D23="","",SUM(Curva!D$3:D23))</f>
        <v/>
      </c>
      <c r="E23" s="43">
        <f>IF(Curva!E23="","",SUM(Curva!E$3:E23))</f>
        <v/>
      </c>
      <c r="F23" s="43">
        <f>IF(Curva!F23="","",SUM(Curva!F$3:F23))</f>
        <v/>
      </c>
      <c r="G23" s="43">
        <f>IF(Curva!G23="","",SUM(Curva!G$3:G23))</f>
        <v/>
      </c>
      <c r="H23" s="43">
        <f>IF(Curva!H23="","",SUM(Curva!H$3:H23))</f>
        <v/>
      </c>
      <c r="I23" s="43">
        <f>IF(Curva!I23="","",SUM(Curva!I$3:I23))</f>
        <v/>
      </c>
      <c r="J23" s="43">
        <f>IF(Curva!J23="","",SUM(Curva!J$3:J23))</f>
        <v/>
      </c>
      <c r="K23" s="43">
        <f>IF(Curva!K23="","",SUM(Curva!K$3:K23))</f>
        <v/>
      </c>
      <c r="L23" s="43">
        <f>IF(Curva!L23="","",SUM(Curva!L$3:L23))</f>
        <v/>
      </c>
      <c r="M23" s="43">
        <f>IF(Curva!M23="","",SUM(Curva!M$3:M23))</f>
        <v/>
      </c>
      <c r="N23" s="43">
        <f>IF(Curva!N23="","",SUM(Curva!N$3:N23))</f>
        <v/>
      </c>
      <c r="O23" s="43">
        <f>IF(Curva!O23="","",SUM(Curva!O$3:O23))</f>
        <v/>
      </c>
      <c r="P23" s="43">
        <f>IF(Curva!P23="","",SUM(Curva!P$3:P23))</f>
        <v/>
      </c>
      <c r="Q23" s="43">
        <f>IF(Curva!Q23="","",SUM(Curva!Q$3:Q23))</f>
        <v/>
      </c>
      <c r="R23" s="43">
        <f>IF(Curva!R23="","",SUM(Curva!R$3:R23))</f>
        <v/>
      </c>
      <c r="S23" s="43">
        <f>IF(Curva!S23="","",SUM(Curva!S$3:S23))</f>
        <v/>
      </c>
      <c r="T23" s="43">
        <f>IF(Curva!T23="","",SUM(Curva!T$3:T23))</f>
        <v/>
      </c>
      <c r="U23" s="43">
        <f>IF(Curva!U23="","",SUM(Curva!U$3:U23))</f>
        <v/>
      </c>
      <c r="V23" s="43">
        <f>IF(Curva!V23="","",SUM(Curva!V$3:V23))</f>
        <v/>
      </c>
      <c r="W23" s="43">
        <f>IF(Curva!W23="","",SUM(Curva!W$3:W23))</f>
        <v/>
      </c>
      <c r="X23" s="43">
        <f>IF(Curva!X23="","",SUM(Curva!X$3:X23))</f>
        <v/>
      </c>
      <c r="Y23" s="43">
        <f>IF(Curva!Y23="","",SUM(Curva!Y$3:Y23))</f>
        <v/>
      </c>
      <c r="Z23" s="43">
        <f>IF(Curva!Z23="","",SUM(Curva!Z$3:Z23))</f>
        <v/>
      </c>
      <c r="AA23" s="43">
        <f>IF(Curva!AA23="","",SUM(Curva!AA$3:AA23))</f>
        <v/>
      </c>
      <c r="AB23" s="43">
        <f>IF(Curva!AB23="","",SUM(Curva!AB$3:AB23))</f>
        <v/>
      </c>
      <c r="AC23" s="43">
        <f>IF(Curva!AC23="","",SUM(Curva!AC$3:AC23))</f>
        <v/>
      </c>
      <c r="AD23" s="43">
        <f>IF(Curva!AD23="","",SUM(Curva!AD$3:AD23))</f>
        <v/>
      </c>
      <c r="AE23" s="43">
        <f>IF(Curva!AE23="","",SUM(Curva!AE$3:AE23))</f>
        <v/>
      </c>
      <c r="AF23" s="43">
        <f>IF(Curva!AF23="","",SUM(Curva!AF$3:AF23))</f>
        <v/>
      </c>
      <c r="AG23" s="43">
        <f>IF(Curva!AG23="","",SUM(Curva!AG$3:AG23))</f>
        <v/>
      </c>
      <c r="AH23" s="43">
        <f>IF(Curva!AH23="","",SUM(Curva!AH$3:AH23))</f>
        <v/>
      </c>
      <c r="AI23" s="43">
        <f>IF(Curva!AI23="","",SUM(Curva!AI$3:AI23))</f>
        <v/>
      </c>
      <c r="AJ23" s="43">
        <f>IF(Curva!AJ23="","",SUM(Curva!AJ$3:AJ23))</f>
        <v/>
      </c>
      <c r="AK23" s="43">
        <f>IF(Curva!AK23="","",SUM(Curva!AK$3:AK23))</f>
        <v/>
      </c>
    </row>
    <row r="24" ht="15" customHeight="1" s="23">
      <c r="A24" s="25" t="n">
        <v>22</v>
      </c>
      <c r="B24" s="43">
        <f>IF(Curva!B24="","",SUM(Curva!B$3:B24))</f>
        <v/>
      </c>
      <c r="C24" s="43">
        <f>IF(Curva!C24="","",SUM(Curva!C$3:C24))</f>
        <v/>
      </c>
      <c r="D24" s="43">
        <f>IF(Curva!D24="","",SUM(Curva!D$3:D24))</f>
        <v/>
      </c>
      <c r="E24" s="43">
        <f>IF(Curva!E24="","",SUM(Curva!E$3:E24))</f>
        <v/>
      </c>
      <c r="F24" s="43">
        <f>IF(Curva!F24="","",SUM(Curva!F$3:F24))</f>
        <v/>
      </c>
      <c r="G24" s="43">
        <f>IF(Curva!G24="","",SUM(Curva!G$3:G24))</f>
        <v/>
      </c>
      <c r="H24" s="43">
        <f>IF(Curva!H24="","",SUM(Curva!H$3:H24))</f>
        <v/>
      </c>
      <c r="I24" s="43">
        <f>IF(Curva!I24="","",SUM(Curva!I$3:I24))</f>
        <v/>
      </c>
      <c r="J24" s="43">
        <f>IF(Curva!J24="","",SUM(Curva!J$3:J24))</f>
        <v/>
      </c>
      <c r="K24" s="43">
        <f>IF(Curva!K24="","",SUM(Curva!K$3:K24))</f>
        <v/>
      </c>
      <c r="L24" s="43">
        <f>IF(Curva!L24="","",SUM(Curva!L$3:L24))</f>
        <v/>
      </c>
      <c r="M24" s="43">
        <f>IF(Curva!M24="","",SUM(Curva!M$3:M24))</f>
        <v/>
      </c>
      <c r="N24" s="43">
        <f>IF(Curva!N24="","",SUM(Curva!N$3:N24))</f>
        <v/>
      </c>
      <c r="O24" s="43">
        <f>IF(Curva!O24="","",SUM(Curva!O$3:O24))</f>
        <v/>
      </c>
      <c r="P24" s="43">
        <f>IF(Curva!P24="","",SUM(Curva!P$3:P24))</f>
        <v/>
      </c>
      <c r="Q24" s="43">
        <f>IF(Curva!Q24="","",SUM(Curva!Q$3:Q24))</f>
        <v/>
      </c>
      <c r="R24" s="43">
        <f>IF(Curva!R24="","",SUM(Curva!R$3:R24))</f>
        <v/>
      </c>
      <c r="S24" s="43">
        <f>IF(Curva!S24="","",SUM(Curva!S$3:S24))</f>
        <v/>
      </c>
      <c r="T24" s="43">
        <f>IF(Curva!T24="","",SUM(Curva!T$3:T24))</f>
        <v/>
      </c>
      <c r="U24" s="43">
        <f>IF(Curva!U24="","",SUM(Curva!U$3:U24))</f>
        <v/>
      </c>
      <c r="V24" s="43">
        <f>IF(Curva!V24="","",SUM(Curva!V$3:V24))</f>
        <v/>
      </c>
      <c r="W24" s="43">
        <f>IF(Curva!W24="","",SUM(Curva!W$3:W24))</f>
        <v/>
      </c>
      <c r="X24" s="43">
        <f>IF(Curva!X24="","",SUM(Curva!X$3:X24))</f>
        <v/>
      </c>
      <c r="Y24" s="43">
        <f>IF(Curva!Y24="","",SUM(Curva!Y$3:Y24))</f>
        <v/>
      </c>
      <c r="Z24" s="43">
        <f>IF(Curva!Z24="","",SUM(Curva!Z$3:Z24))</f>
        <v/>
      </c>
      <c r="AA24" s="43">
        <f>IF(Curva!AA24="","",SUM(Curva!AA$3:AA24))</f>
        <v/>
      </c>
      <c r="AB24" s="43">
        <f>IF(Curva!AB24="","",SUM(Curva!AB$3:AB24))</f>
        <v/>
      </c>
      <c r="AC24" s="43">
        <f>IF(Curva!AC24="","",SUM(Curva!AC$3:AC24))</f>
        <v/>
      </c>
      <c r="AD24" s="43">
        <f>IF(Curva!AD24="","",SUM(Curva!AD$3:AD24))</f>
        <v/>
      </c>
      <c r="AE24" s="43">
        <f>IF(Curva!AE24="","",SUM(Curva!AE$3:AE24))</f>
        <v/>
      </c>
      <c r="AF24" s="43">
        <f>IF(Curva!AF24="","",SUM(Curva!AF$3:AF24))</f>
        <v/>
      </c>
      <c r="AG24" s="43">
        <f>IF(Curva!AG24="","",SUM(Curva!AG$3:AG24))</f>
        <v/>
      </c>
      <c r="AH24" s="43">
        <f>IF(Curva!AH24="","",SUM(Curva!AH$3:AH24))</f>
        <v/>
      </c>
      <c r="AI24" s="43">
        <f>IF(Curva!AI24="","",SUM(Curva!AI$3:AI24))</f>
        <v/>
      </c>
      <c r="AJ24" s="43">
        <f>IF(Curva!AJ24="","",SUM(Curva!AJ$3:AJ24))</f>
        <v/>
      </c>
      <c r="AK24" s="43">
        <f>IF(Curva!AK24="","",SUM(Curva!AK$3:AK24))</f>
        <v/>
      </c>
    </row>
    <row r="25" ht="15" customHeight="1" s="23">
      <c r="A25" s="25" t="n">
        <v>23</v>
      </c>
      <c r="B25" s="43">
        <f>IF(Curva!B25="","",SUM(Curva!B$3:B25))</f>
        <v/>
      </c>
      <c r="C25" s="43">
        <f>IF(Curva!C25="","",SUM(Curva!C$3:C25))</f>
        <v/>
      </c>
      <c r="D25" s="43">
        <f>IF(Curva!D25="","",SUM(Curva!D$3:D25))</f>
        <v/>
      </c>
      <c r="E25" s="43">
        <f>IF(Curva!E25="","",SUM(Curva!E$3:E25))</f>
        <v/>
      </c>
      <c r="F25" s="43">
        <f>IF(Curva!F25="","",SUM(Curva!F$3:F25))</f>
        <v/>
      </c>
      <c r="G25" s="43">
        <f>IF(Curva!G25="","",SUM(Curva!G$3:G25))</f>
        <v/>
      </c>
      <c r="H25" s="43">
        <f>IF(Curva!H25="","",SUM(Curva!H$3:H25))</f>
        <v/>
      </c>
      <c r="I25" s="43">
        <f>IF(Curva!I25="","",SUM(Curva!I$3:I25))</f>
        <v/>
      </c>
      <c r="J25" s="43">
        <f>IF(Curva!J25="","",SUM(Curva!J$3:J25))</f>
        <v/>
      </c>
      <c r="K25" s="43">
        <f>IF(Curva!K25="","",SUM(Curva!K$3:K25))</f>
        <v/>
      </c>
      <c r="L25" s="43">
        <f>IF(Curva!L25="","",SUM(Curva!L$3:L25))</f>
        <v/>
      </c>
      <c r="M25" s="43">
        <f>IF(Curva!M25="","",SUM(Curva!M$3:M25))</f>
        <v/>
      </c>
      <c r="N25" s="43">
        <f>IF(Curva!N25="","",SUM(Curva!N$3:N25))</f>
        <v/>
      </c>
      <c r="O25" s="43">
        <f>IF(Curva!O25="","",SUM(Curva!O$3:O25))</f>
        <v/>
      </c>
      <c r="P25" s="43">
        <f>IF(Curva!P25="","",SUM(Curva!P$3:P25))</f>
        <v/>
      </c>
      <c r="Q25" s="43">
        <f>IF(Curva!Q25="","",SUM(Curva!Q$3:Q25))</f>
        <v/>
      </c>
      <c r="R25" s="43">
        <f>IF(Curva!R25="","",SUM(Curva!R$3:R25))</f>
        <v/>
      </c>
      <c r="S25" s="43">
        <f>IF(Curva!S25="","",SUM(Curva!S$3:S25))</f>
        <v/>
      </c>
      <c r="T25" s="43">
        <f>IF(Curva!T25="","",SUM(Curva!T$3:T25))</f>
        <v/>
      </c>
      <c r="U25" s="43">
        <f>IF(Curva!U25="","",SUM(Curva!U$3:U25))</f>
        <v/>
      </c>
      <c r="V25" s="43">
        <f>IF(Curva!V25="","",SUM(Curva!V$3:V25))</f>
        <v/>
      </c>
      <c r="W25" s="43">
        <f>IF(Curva!W25="","",SUM(Curva!W$3:W25))</f>
        <v/>
      </c>
      <c r="X25" s="43">
        <f>IF(Curva!X25="","",SUM(Curva!X$3:X25))</f>
        <v/>
      </c>
      <c r="Y25" s="43">
        <f>IF(Curva!Y25="","",SUM(Curva!Y$3:Y25))</f>
        <v/>
      </c>
      <c r="Z25" s="43">
        <f>IF(Curva!Z25="","",SUM(Curva!Z$3:Z25))</f>
        <v/>
      </c>
      <c r="AA25" s="43">
        <f>IF(Curva!AA25="","",SUM(Curva!AA$3:AA25))</f>
        <v/>
      </c>
      <c r="AB25" s="43">
        <f>IF(Curva!AB25="","",SUM(Curva!AB$3:AB25))</f>
        <v/>
      </c>
      <c r="AC25" s="43">
        <f>IF(Curva!AC25="","",SUM(Curva!AC$3:AC25))</f>
        <v/>
      </c>
      <c r="AD25" s="43">
        <f>IF(Curva!AD25="","",SUM(Curva!AD$3:AD25))</f>
        <v/>
      </c>
      <c r="AE25" s="43">
        <f>IF(Curva!AE25="","",SUM(Curva!AE$3:AE25))</f>
        <v/>
      </c>
      <c r="AF25" s="43">
        <f>IF(Curva!AF25="","",SUM(Curva!AF$3:AF25))</f>
        <v/>
      </c>
      <c r="AG25" s="43">
        <f>IF(Curva!AG25="","",SUM(Curva!AG$3:AG25))</f>
        <v/>
      </c>
      <c r="AH25" s="43">
        <f>IF(Curva!AH25="","",SUM(Curva!AH$3:AH25))</f>
        <v/>
      </c>
      <c r="AI25" s="43">
        <f>IF(Curva!AI25="","",SUM(Curva!AI$3:AI25))</f>
        <v/>
      </c>
      <c r="AJ25" s="43">
        <f>IF(Curva!AJ25="","",SUM(Curva!AJ$3:AJ25))</f>
        <v/>
      </c>
      <c r="AK25" s="43">
        <f>IF(Curva!AK25="","",SUM(Curva!AK$3:AK25))</f>
        <v/>
      </c>
    </row>
    <row r="26" ht="15" customHeight="1" s="23">
      <c r="A26" s="25" t="n">
        <v>24</v>
      </c>
      <c r="B26" s="43">
        <f>IF(Curva!B26="","",SUM(Curva!B$3:B26))</f>
        <v/>
      </c>
      <c r="C26" s="43">
        <f>IF(Curva!C26="","",SUM(Curva!C$3:C26))</f>
        <v/>
      </c>
      <c r="D26" s="43">
        <f>IF(Curva!D26="","",SUM(Curva!D$3:D26))</f>
        <v/>
      </c>
      <c r="E26" s="43">
        <f>IF(Curva!E26="","",SUM(Curva!E$3:E26))</f>
        <v/>
      </c>
      <c r="F26" s="43">
        <f>IF(Curva!F26="","",SUM(Curva!F$3:F26))</f>
        <v/>
      </c>
      <c r="G26" s="43">
        <f>IF(Curva!G26="","",SUM(Curva!G$3:G26))</f>
        <v/>
      </c>
      <c r="H26" s="43">
        <f>IF(Curva!H26="","",SUM(Curva!H$3:H26))</f>
        <v/>
      </c>
      <c r="I26" s="43">
        <f>IF(Curva!I26="","",SUM(Curva!I$3:I26))</f>
        <v/>
      </c>
      <c r="J26" s="43">
        <f>IF(Curva!J26="","",SUM(Curva!J$3:J26))</f>
        <v/>
      </c>
      <c r="K26" s="43">
        <f>IF(Curva!K26="","",SUM(Curva!K$3:K26))</f>
        <v/>
      </c>
      <c r="L26" s="43">
        <f>IF(Curva!L26="","",SUM(Curva!L$3:L26))</f>
        <v/>
      </c>
      <c r="M26" s="43">
        <f>IF(Curva!M26="","",SUM(Curva!M$3:M26))</f>
        <v/>
      </c>
      <c r="N26" s="43">
        <f>IF(Curva!N26="","",SUM(Curva!N$3:N26))</f>
        <v/>
      </c>
      <c r="O26" s="43">
        <f>IF(Curva!O26="","",SUM(Curva!O$3:O26))</f>
        <v/>
      </c>
      <c r="P26" s="43">
        <f>IF(Curva!P26="","",SUM(Curva!P$3:P26))</f>
        <v/>
      </c>
      <c r="Q26" s="43">
        <f>IF(Curva!Q26="","",SUM(Curva!Q$3:Q26))</f>
        <v/>
      </c>
      <c r="R26" s="43">
        <f>IF(Curva!R26="","",SUM(Curva!R$3:R26))</f>
        <v/>
      </c>
      <c r="S26" s="43">
        <f>IF(Curva!S26="","",SUM(Curva!S$3:S26))</f>
        <v/>
      </c>
      <c r="T26" s="43">
        <f>IF(Curva!T26="","",SUM(Curva!T$3:T26))</f>
        <v/>
      </c>
      <c r="U26" s="43">
        <f>IF(Curva!U26="","",SUM(Curva!U$3:U26))</f>
        <v/>
      </c>
      <c r="V26" s="43">
        <f>IF(Curva!V26="","",SUM(Curva!V$3:V26))</f>
        <v/>
      </c>
      <c r="W26" s="43">
        <f>IF(Curva!W26="","",SUM(Curva!W$3:W26))</f>
        <v/>
      </c>
      <c r="X26" s="43">
        <f>IF(Curva!X26="","",SUM(Curva!X$3:X26))</f>
        <v/>
      </c>
      <c r="Y26" s="43">
        <f>IF(Curva!Y26="","",SUM(Curva!Y$3:Y26))</f>
        <v/>
      </c>
      <c r="Z26" s="43">
        <f>IF(Curva!Z26="","",SUM(Curva!Z$3:Z26))</f>
        <v/>
      </c>
      <c r="AA26" s="43">
        <f>IF(Curva!AA26="","",SUM(Curva!AA$3:AA26))</f>
        <v/>
      </c>
      <c r="AB26" s="43">
        <f>IF(Curva!AB26="","",SUM(Curva!AB$3:AB26))</f>
        <v/>
      </c>
      <c r="AC26" s="43">
        <f>IF(Curva!AC26="","",SUM(Curva!AC$3:AC26))</f>
        <v/>
      </c>
      <c r="AD26" s="43">
        <f>IF(Curva!AD26="","",SUM(Curva!AD$3:AD26))</f>
        <v/>
      </c>
      <c r="AE26" s="43">
        <f>IF(Curva!AE26="","",SUM(Curva!AE$3:AE26))</f>
        <v/>
      </c>
      <c r="AF26" s="43">
        <f>IF(Curva!AF26="","",SUM(Curva!AF$3:AF26))</f>
        <v/>
      </c>
      <c r="AG26" s="43">
        <f>IF(Curva!AG26="","",SUM(Curva!AG$3:AG26))</f>
        <v/>
      </c>
      <c r="AH26" s="43">
        <f>IF(Curva!AH26="","",SUM(Curva!AH$3:AH26))</f>
        <v/>
      </c>
      <c r="AI26" s="43">
        <f>IF(Curva!AI26="","",SUM(Curva!AI$3:AI26))</f>
        <v/>
      </c>
      <c r="AJ26" s="43">
        <f>IF(Curva!AJ26="","",SUM(Curva!AJ$3:AJ26))</f>
        <v/>
      </c>
      <c r="AK26" s="43">
        <f>IF(Curva!AK26="","",SUM(Curva!AK$3:AK26))</f>
        <v/>
      </c>
    </row>
    <row r="27" ht="15" customHeight="1" s="23">
      <c r="A27" s="25" t="n">
        <v>25</v>
      </c>
      <c r="B27" s="43">
        <f>IF(Curva!B27="","",SUM(Curva!B$3:B27))</f>
        <v/>
      </c>
      <c r="C27" s="43">
        <f>IF(Curva!C27="","",SUM(Curva!C$3:C27))</f>
        <v/>
      </c>
      <c r="D27" s="43">
        <f>IF(Curva!D27="","",SUM(Curva!D$3:D27))</f>
        <v/>
      </c>
      <c r="E27" s="43">
        <f>IF(Curva!E27="","",SUM(Curva!E$3:E27))</f>
        <v/>
      </c>
      <c r="F27" s="43">
        <f>IF(Curva!F27="","",SUM(Curva!F$3:F27))</f>
        <v/>
      </c>
      <c r="G27" s="43">
        <f>IF(Curva!G27="","",SUM(Curva!G$3:G27))</f>
        <v/>
      </c>
      <c r="H27" s="43">
        <f>IF(Curva!H27="","",SUM(Curva!H$3:H27))</f>
        <v/>
      </c>
      <c r="I27" s="43">
        <f>IF(Curva!I27="","",SUM(Curva!I$3:I27))</f>
        <v/>
      </c>
      <c r="J27" s="43">
        <f>IF(Curva!J27="","",SUM(Curva!J$3:J27))</f>
        <v/>
      </c>
      <c r="K27" s="43">
        <f>IF(Curva!K27="","",SUM(Curva!K$3:K27))</f>
        <v/>
      </c>
      <c r="L27" s="43">
        <f>IF(Curva!L27="","",SUM(Curva!L$3:L27))</f>
        <v/>
      </c>
      <c r="M27" s="43">
        <f>IF(Curva!M27="","",SUM(Curva!M$3:M27))</f>
        <v/>
      </c>
      <c r="N27" s="43">
        <f>IF(Curva!N27="","",SUM(Curva!N$3:N27))</f>
        <v/>
      </c>
      <c r="O27" s="43">
        <f>IF(Curva!O27="","",SUM(Curva!O$3:O27))</f>
        <v/>
      </c>
      <c r="P27" s="43">
        <f>IF(Curva!P27="","",SUM(Curva!P$3:P27))</f>
        <v/>
      </c>
      <c r="Q27" s="43">
        <f>IF(Curva!Q27="","",SUM(Curva!Q$3:Q27))</f>
        <v/>
      </c>
      <c r="R27" s="43">
        <f>IF(Curva!R27="","",SUM(Curva!R$3:R27))</f>
        <v/>
      </c>
      <c r="S27" s="43">
        <f>IF(Curva!S27="","",SUM(Curva!S$3:S27))</f>
        <v/>
      </c>
      <c r="T27" s="43">
        <f>IF(Curva!T27="","",SUM(Curva!T$3:T27))</f>
        <v/>
      </c>
      <c r="U27" s="43">
        <f>IF(Curva!U27="","",SUM(Curva!U$3:U27))</f>
        <v/>
      </c>
      <c r="V27" s="43">
        <f>IF(Curva!V27="","",SUM(Curva!V$3:V27))</f>
        <v/>
      </c>
      <c r="W27" s="43">
        <f>IF(Curva!W27="","",SUM(Curva!W$3:W27))</f>
        <v/>
      </c>
      <c r="X27" s="43">
        <f>IF(Curva!X27="","",SUM(Curva!X$3:X27))</f>
        <v/>
      </c>
      <c r="Y27" s="43">
        <f>IF(Curva!Y27="","",SUM(Curva!Y$3:Y27))</f>
        <v/>
      </c>
      <c r="Z27" s="43">
        <f>IF(Curva!Z27="","",SUM(Curva!Z$3:Z27))</f>
        <v/>
      </c>
      <c r="AA27" s="43">
        <f>IF(Curva!AA27="","",SUM(Curva!AA$3:AA27))</f>
        <v/>
      </c>
      <c r="AB27" s="43">
        <f>IF(Curva!AB27="","",SUM(Curva!AB$3:AB27))</f>
        <v/>
      </c>
      <c r="AC27" s="43">
        <f>IF(Curva!AC27="","",SUM(Curva!AC$3:AC27))</f>
        <v/>
      </c>
      <c r="AD27" s="43">
        <f>IF(Curva!AD27="","",SUM(Curva!AD$3:AD27))</f>
        <v/>
      </c>
      <c r="AE27" s="43">
        <f>IF(Curva!AE27="","",SUM(Curva!AE$3:AE27))</f>
        <v/>
      </c>
      <c r="AF27" s="43">
        <f>IF(Curva!AF27="","",SUM(Curva!AF$3:AF27))</f>
        <v/>
      </c>
      <c r="AG27" s="43">
        <f>IF(Curva!AG27="","",SUM(Curva!AG$3:AG27))</f>
        <v/>
      </c>
      <c r="AH27" s="43">
        <f>IF(Curva!AH27="","",SUM(Curva!AH$3:AH27))</f>
        <v/>
      </c>
      <c r="AI27" s="43">
        <f>IF(Curva!AI27="","",SUM(Curva!AI$3:AI27))</f>
        <v/>
      </c>
      <c r="AJ27" s="43">
        <f>IF(Curva!AJ27="","",SUM(Curva!AJ$3:AJ27))</f>
        <v/>
      </c>
      <c r="AK27" s="43">
        <f>IF(Curva!AK27="","",SUM(Curva!AK$3:AK27))</f>
        <v/>
      </c>
    </row>
    <row r="28" ht="15" customHeight="1" s="23">
      <c r="A28" s="25" t="n">
        <v>26</v>
      </c>
      <c r="B28" s="43">
        <f>IF(Curva!B28="","",SUM(Curva!B$3:B28))</f>
        <v/>
      </c>
      <c r="C28" s="43">
        <f>IF(Curva!C28="","",SUM(Curva!C$3:C28))</f>
        <v/>
      </c>
      <c r="D28" s="43">
        <f>IF(Curva!D28="","",SUM(Curva!D$3:D28))</f>
        <v/>
      </c>
      <c r="E28" s="43">
        <f>IF(Curva!E28="","",SUM(Curva!E$3:E28))</f>
        <v/>
      </c>
      <c r="F28" s="43">
        <f>IF(Curva!F28="","",SUM(Curva!F$3:F28))</f>
        <v/>
      </c>
      <c r="G28" s="43">
        <f>IF(Curva!G28="","",SUM(Curva!G$3:G28))</f>
        <v/>
      </c>
      <c r="H28" s="43">
        <f>IF(Curva!H28="","",SUM(Curva!H$3:H28))</f>
        <v/>
      </c>
      <c r="I28" s="43">
        <f>IF(Curva!I28="","",SUM(Curva!I$3:I28))</f>
        <v/>
      </c>
      <c r="J28" s="43">
        <f>IF(Curva!J28="","",SUM(Curva!J$3:J28))</f>
        <v/>
      </c>
      <c r="K28" s="43">
        <f>IF(Curva!K28="","",SUM(Curva!K$3:K28))</f>
        <v/>
      </c>
      <c r="L28" s="43">
        <f>IF(Curva!L28="","",SUM(Curva!L$3:L28))</f>
        <v/>
      </c>
      <c r="M28" s="43">
        <f>IF(Curva!M28="","",SUM(Curva!M$3:M28))</f>
        <v/>
      </c>
      <c r="N28" s="43">
        <f>IF(Curva!N28="","",SUM(Curva!N$3:N28))</f>
        <v/>
      </c>
      <c r="O28" s="43">
        <f>IF(Curva!O28="","",SUM(Curva!O$3:O28))</f>
        <v/>
      </c>
      <c r="P28" s="43">
        <f>IF(Curva!P28="","",SUM(Curva!P$3:P28))</f>
        <v/>
      </c>
      <c r="Q28" s="43">
        <f>IF(Curva!Q28="","",SUM(Curva!Q$3:Q28))</f>
        <v/>
      </c>
      <c r="R28" s="43">
        <f>IF(Curva!R28="","",SUM(Curva!R$3:R28))</f>
        <v/>
      </c>
      <c r="S28" s="43">
        <f>IF(Curva!S28="","",SUM(Curva!S$3:S28))</f>
        <v/>
      </c>
      <c r="T28" s="43">
        <f>IF(Curva!T28="","",SUM(Curva!T$3:T28))</f>
        <v/>
      </c>
      <c r="U28" s="43">
        <f>IF(Curva!U28="","",SUM(Curva!U$3:U28))</f>
        <v/>
      </c>
      <c r="V28" s="43">
        <f>IF(Curva!V28="","",SUM(Curva!V$3:V28))</f>
        <v/>
      </c>
      <c r="W28" s="43">
        <f>IF(Curva!W28="","",SUM(Curva!W$3:W28))</f>
        <v/>
      </c>
      <c r="X28" s="43">
        <f>IF(Curva!X28="","",SUM(Curva!X$3:X28))</f>
        <v/>
      </c>
      <c r="Y28" s="43">
        <f>IF(Curva!Y28="","",SUM(Curva!Y$3:Y28))</f>
        <v/>
      </c>
      <c r="Z28" s="43">
        <f>IF(Curva!Z28="","",SUM(Curva!Z$3:Z28))</f>
        <v/>
      </c>
      <c r="AA28" s="43">
        <f>IF(Curva!AA28="","",SUM(Curva!AA$3:AA28))</f>
        <v/>
      </c>
      <c r="AB28" s="43">
        <f>IF(Curva!AB28="","",SUM(Curva!AB$3:AB28))</f>
        <v/>
      </c>
      <c r="AC28" s="43">
        <f>IF(Curva!AC28="","",SUM(Curva!AC$3:AC28))</f>
        <v/>
      </c>
      <c r="AD28" s="43">
        <f>IF(Curva!AD28="","",SUM(Curva!AD$3:AD28))</f>
        <v/>
      </c>
      <c r="AE28" s="43">
        <f>IF(Curva!AE28="","",SUM(Curva!AE$3:AE28))</f>
        <v/>
      </c>
      <c r="AF28" s="43">
        <f>IF(Curva!AF28="","",SUM(Curva!AF$3:AF28))</f>
        <v/>
      </c>
      <c r="AG28" s="43">
        <f>IF(Curva!AG28="","",SUM(Curva!AG$3:AG28))</f>
        <v/>
      </c>
      <c r="AH28" s="43">
        <f>IF(Curva!AH28="","",SUM(Curva!AH$3:AH28))</f>
        <v/>
      </c>
      <c r="AI28" s="43">
        <f>IF(Curva!AI28="","",SUM(Curva!AI$3:AI28))</f>
        <v/>
      </c>
      <c r="AJ28" s="43">
        <f>IF(Curva!AJ28="","",SUM(Curva!AJ$3:AJ28))</f>
        <v/>
      </c>
      <c r="AK28" s="43">
        <f>IF(Curva!AK28="","",SUM(Curva!AK$3:AK28))</f>
        <v/>
      </c>
    </row>
    <row r="29" ht="15" customHeight="1" s="23">
      <c r="A29" s="25" t="n">
        <v>27</v>
      </c>
      <c r="B29" s="43">
        <f>IF(Curva!B29="","",SUM(Curva!B$3:B29))</f>
        <v/>
      </c>
      <c r="C29" s="43">
        <f>IF(Curva!C29="","",SUM(Curva!C$3:C29))</f>
        <v/>
      </c>
      <c r="D29" s="43">
        <f>IF(Curva!D29="","",SUM(Curva!D$3:D29))</f>
        <v/>
      </c>
      <c r="E29" s="43">
        <f>IF(Curva!E29="","",SUM(Curva!E$3:E29))</f>
        <v/>
      </c>
      <c r="F29" s="43">
        <f>IF(Curva!F29="","",SUM(Curva!F$3:F29))</f>
        <v/>
      </c>
      <c r="G29" s="43">
        <f>IF(Curva!G29="","",SUM(Curva!G$3:G29))</f>
        <v/>
      </c>
      <c r="H29" s="43">
        <f>IF(Curva!H29="","",SUM(Curva!H$3:H29))</f>
        <v/>
      </c>
      <c r="I29" s="43">
        <f>IF(Curva!I29="","",SUM(Curva!I$3:I29))</f>
        <v/>
      </c>
      <c r="J29" s="43">
        <f>IF(Curva!J29="","",SUM(Curva!J$3:J29))</f>
        <v/>
      </c>
      <c r="K29" s="43">
        <f>IF(Curva!K29="","",SUM(Curva!K$3:K29))</f>
        <v/>
      </c>
      <c r="L29" s="43">
        <f>IF(Curva!L29="","",SUM(Curva!L$3:L29))</f>
        <v/>
      </c>
      <c r="M29" s="43">
        <f>IF(Curva!M29="","",SUM(Curva!M$3:M29))</f>
        <v/>
      </c>
      <c r="N29" s="43">
        <f>IF(Curva!N29="","",SUM(Curva!N$3:N29))</f>
        <v/>
      </c>
      <c r="O29" s="43">
        <f>IF(Curva!O29="","",SUM(Curva!O$3:O29))</f>
        <v/>
      </c>
      <c r="P29" s="43">
        <f>IF(Curva!P29="","",SUM(Curva!P$3:P29))</f>
        <v/>
      </c>
      <c r="Q29" s="43">
        <f>IF(Curva!Q29="","",SUM(Curva!Q$3:Q29))</f>
        <v/>
      </c>
      <c r="R29" s="43">
        <f>IF(Curva!R29="","",SUM(Curva!R$3:R29))</f>
        <v/>
      </c>
      <c r="S29" s="43">
        <f>IF(Curva!S29="","",SUM(Curva!S$3:S29))</f>
        <v/>
      </c>
      <c r="T29" s="43">
        <f>IF(Curva!T29="","",SUM(Curva!T$3:T29))</f>
        <v/>
      </c>
      <c r="U29" s="43">
        <f>IF(Curva!U29="","",SUM(Curva!U$3:U29))</f>
        <v/>
      </c>
      <c r="V29" s="43">
        <f>IF(Curva!V29="","",SUM(Curva!V$3:V29))</f>
        <v/>
      </c>
      <c r="W29" s="43">
        <f>IF(Curva!W29="","",SUM(Curva!W$3:W29))</f>
        <v/>
      </c>
      <c r="X29" s="43">
        <f>IF(Curva!X29="","",SUM(Curva!X$3:X29))</f>
        <v/>
      </c>
      <c r="Y29" s="43">
        <f>IF(Curva!Y29="","",SUM(Curva!Y$3:Y29))</f>
        <v/>
      </c>
      <c r="Z29" s="43">
        <f>IF(Curva!Z29="","",SUM(Curva!Z$3:Z29))</f>
        <v/>
      </c>
      <c r="AA29" s="43">
        <f>IF(Curva!AA29="","",SUM(Curva!AA$3:AA29))</f>
        <v/>
      </c>
      <c r="AB29" s="43">
        <f>IF(Curva!AB29="","",SUM(Curva!AB$3:AB29))</f>
        <v/>
      </c>
      <c r="AC29" s="43">
        <f>IF(Curva!AC29="","",SUM(Curva!AC$3:AC29))</f>
        <v/>
      </c>
      <c r="AD29" s="43">
        <f>IF(Curva!AD29="","",SUM(Curva!AD$3:AD29))</f>
        <v/>
      </c>
      <c r="AE29" s="43">
        <f>IF(Curva!AE29="","",SUM(Curva!AE$3:AE29))</f>
        <v/>
      </c>
      <c r="AF29" s="43">
        <f>IF(Curva!AF29="","",SUM(Curva!AF$3:AF29))</f>
        <v/>
      </c>
      <c r="AG29" s="43">
        <f>IF(Curva!AG29="","",SUM(Curva!AG$3:AG29))</f>
        <v/>
      </c>
      <c r="AH29" s="43">
        <f>IF(Curva!AH29="","",SUM(Curva!AH$3:AH29))</f>
        <v/>
      </c>
      <c r="AI29" s="43">
        <f>IF(Curva!AI29="","",SUM(Curva!AI$3:AI29))</f>
        <v/>
      </c>
      <c r="AJ29" s="43">
        <f>IF(Curva!AJ29="","",SUM(Curva!AJ$3:AJ29))</f>
        <v/>
      </c>
      <c r="AK29" s="43">
        <f>IF(Curva!AK29="","",SUM(Curva!AK$3:AK29))</f>
        <v/>
      </c>
    </row>
    <row r="30" ht="15" customHeight="1" s="23">
      <c r="A30" s="25" t="n">
        <v>28</v>
      </c>
      <c r="B30" s="43">
        <f>IF(Curva!B30="","",SUM(Curva!B$3:B30))</f>
        <v/>
      </c>
      <c r="C30" s="43">
        <f>IF(Curva!C30="","",SUM(Curva!C$3:C30))</f>
        <v/>
      </c>
      <c r="D30" s="43">
        <f>IF(Curva!D30="","",SUM(Curva!D$3:D30))</f>
        <v/>
      </c>
      <c r="E30" s="43">
        <f>IF(Curva!E30="","",SUM(Curva!E$3:E30))</f>
        <v/>
      </c>
      <c r="F30" s="43">
        <f>IF(Curva!F30="","",SUM(Curva!F$3:F30))</f>
        <v/>
      </c>
      <c r="G30" s="43">
        <f>IF(Curva!G30="","",SUM(Curva!G$3:G30))</f>
        <v/>
      </c>
      <c r="H30" s="43">
        <f>IF(Curva!H30="","",SUM(Curva!H$3:H30))</f>
        <v/>
      </c>
      <c r="I30" s="43">
        <f>IF(Curva!I30="","",SUM(Curva!I$3:I30))</f>
        <v/>
      </c>
      <c r="J30" s="43">
        <f>IF(Curva!J30="","",SUM(Curva!J$3:J30))</f>
        <v/>
      </c>
      <c r="K30" s="43">
        <f>IF(Curva!K30="","",SUM(Curva!K$3:K30))</f>
        <v/>
      </c>
      <c r="L30" s="43">
        <f>IF(Curva!L30="","",SUM(Curva!L$3:L30))</f>
        <v/>
      </c>
      <c r="M30" s="43">
        <f>IF(Curva!M30="","",SUM(Curva!M$3:M30))</f>
        <v/>
      </c>
      <c r="N30" s="43">
        <f>IF(Curva!N30="","",SUM(Curva!N$3:N30))</f>
        <v/>
      </c>
      <c r="O30" s="43">
        <f>IF(Curva!O30="","",SUM(Curva!O$3:O30))</f>
        <v/>
      </c>
      <c r="P30" s="43">
        <f>IF(Curva!P30="","",SUM(Curva!P$3:P30))</f>
        <v/>
      </c>
      <c r="Q30" s="43">
        <f>IF(Curva!Q30="","",SUM(Curva!Q$3:Q30))</f>
        <v/>
      </c>
      <c r="R30" s="43">
        <f>IF(Curva!R30="","",SUM(Curva!R$3:R30))</f>
        <v/>
      </c>
      <c r="S30" s="43">
        <f>IF(Curva!S30="","",SUM(Curva!S$3:S30))</f>
        <v/>
      </c>
      <c r="T30" s="43">
        <f>IF(Curva!T30="","",SUM(Curva!T$3:T30))</f>
        <v/>
      </c>
      <c r="U30" s="43">
        <f>IF(Curva!U30="","",SUM(Curva!U$3:U30))</f>
        <v/>
      </c>
      <c r="V30" s="43">
        <f>IF(Curva!V30="","",SUM(Curva!V$3:V30))</f>
        <v/>
      </c>
      <c r="W30" s="43">
        <f>IF(Curva!W30="","",SUM(Curva!W$3:W30))</f>
        <v/>
      </c>
      <c r="X30" s="43">
        <f>IF(Curva!X30="","",SUM(Curva!X$3:X30))</f>
        <v/>
      </c>
      <c r="Y30" s="43">
        <f>IF(Curva!Y30="","",SUM(Curva!Y$3:Y30))</f>
        <v/>
      </c>
      <c r="Z30" s="43">
        <f>IF(Curva!Z30="","",SUM(Curva!Z$3:Z30))</f>
        <v/>
      </c>
      <c r="AA30" s="43">
        <f>IF(Curva!AA30="","",SUM(Curva!AA$3:AA30))</f>
        <v/>
      </c>
      <c r="AB30" s="43">
        <f>IF(Curva!AB30="","",SUM(Curva!AB$3:AB30))</f>
        <v/>
      </c>
      <c r="AC30" s="43">
        <f>IF(Curva!AC30="","",SUM(Curva!AC$3:AC30))</f>
        <v/>
      </c>
      <c r="AD30" s="43">
        <f>IF(Curva!AD30="","",SUM(Curva!AD$3:AD30))</f>
        <v/>
      </c>
      <c r="AE30" s="43">
        <f>IF(Curva!AE30="","",SUM(Curva!AE$3:AE30))</f>
        <v/>
      </c>
      <c r="AF30" s="43">
        <f>IF(Curva!AF30="","",SUM(Curva!AF$3:AF30))</f>
        <v/>
      </c>
      <c r="AG30" s="43">
        <f>IF(Curva!AG30="","",SUM(Curva!AG$3:AG30))</f>
        <v/>
      </c>
      <c r="AH30" s="43">
        <f>IF(Curva!AH30="","",SUM(Curva!AH$3:AH30))</f>
        <v/>
      </c>
      <c r="AI30" s="43">
        <f>IF(Curva!AI30="","",SUM(Curva!AI$3:AI30))</f>
        <v/>
      </c>
      <c r="AJ30" s="43">
        <f>IF(Curva!AJ30="","",SUM(Curva!AJ$3:AJ30))</f>
        <v/>
      </c>
      <c r="AK30" s="43">
        <f>IF(Curva!AK30="","",SUM(Curva!AK$3:AK30))</f>
        <v/>
      </c>
    </row>
    <row r="31" ht="15" customHeight="1" s="23">
      <c r="A31" s="25" t="n">
        <v>29</v>
      </c>
      <c r="B31" s="43">
        <f>IF(Curva!B31="","",SUM(Curva!B$3:B31))</f>
        <v/>
      </c>
      <c r="C31" s="43">
        <f>IF(Curva!C31="","",SUM(Curva!C$3:C31))</f>
        <v/>
      </c>
      <c r="D31" s="43">
        <f>IF(Curva!D31="","",SUM(Curva!D$3:D31))</f>
        <v/>
      </c>
      <c r="E31" s="43">
        <f>IF(Curva!E31="","",SUM(Curva!E$3:E31))</f>
        <v/>
      </c>
      <c r="F31" s="43">
        <f>IF(Curva!F31="","",SUM(Curva!F$3:F31))</f>
        <v/>
      </c>
      <c r="G31" s="43">
        <f>IF(Curva!G31="","",SUM(Curva!G$3:G31))</f>
        <v/>
      </c>
      <c r="H31" s="43">
        <f>IF(Curva!H31="","",SUM(Curva!H$3:H31))</f>
        <v/>
      </c>
      <c r="I31" s="43">
        <f>IF(Curva!I31="","",SUM(Curva!I$3:I31))</f>
        <v/>
      </c>
      <c r="J31" s="43">
        <f>IF(Curva!J31="","",SUM(Curva!J$3:J31))</f>
        <v/>
      </c>
      <c r="K31" s="43">
        <f>IF(Curva!K31="","",SUM(Curva!K$3:K31))</f>
        <v/>
      </c>
      <c r="L31" s="43">
        <f>IF(Curva!L31="","",SUM(Curva!L$3:L31))</f>
        <v/>
      </c>
      <c r="M31" s="43">
        <f>IF(Curva!M31="","",SUM(Curva!M$3:M31))</f>
        <v/>
      </c>
      <c r="N31" s="43">
        <f>IF(Curva!N31="","",SUM(Curva!N$3:N31))</f>
        <v/>
      </c>
      <c r="O31" s="43">
        <f>IF(Curva!O31="","",SUM(Curva!O$3:O31))</f>
        <v/>
      </c>
      <c r="P31" s="43">
        <f>IF(Curva!P31="","",SUM(Curva!P$3:P31))</f>
        <v/>
      </c>
      <c r="Q31" s="43">
        <f>IF(Curva!Q31="","",SUM(Curva!Q$3:Q31))</f>
        <v/>
      </c>
      <c r="R31" s="43">
        <f>IF(Curva!R31="","",SUM(Curva!R$3:R31))</f>
        <v/>
      </c>
      <c r="S31" s="43">
        <f>IF(Curva!S31="","",SUM(Curva!S$3:S31))</f>
        <v/>
      </c>
      <c r="T31" s="43">
        <f>IF(Curva!T31="","",SUM(Curva!T$3:T31))</f>
        <v/>
      </c>
      <c r="U31" s="43">
        <f>IF(Curva!U31="","",SUM(Curva!U$3:U31))</f>
        <v/>
      </c>
      <c r="V31" s="43">
        <f>IF(Curva!V31="","",SUM(Curva!V$3:V31))</f>
        <v/>
      </c>
      <c r="W31" s="43">
        <f>IF(Curva!W31="","",SUM(Curva!W$3:W31))</f>
        <v/>
      </c>
      <c r="X31" s="43">
        <f>IF(Curva!X31="","",SUM(Curva!X$3:X31))</f>
        <v/>
      </c>
      <c r="Y31" s="43">
        <f>IF(Curva!Y31="","",SUM(Curva!Y$3:Y31))</f>
        <v/>
      </c>
      <c r="Z31" s="43">
        <f>IF(Curva!Z31="","",SUM(Curva!Z$3:Z31))</f>
        <v/>
      </c>
      <c r="AA31" s="43">
        <f>IF(Curva!AA31="","",SUM(Curva!AA$3:AA31))</f>
        <v/>
      </c>
      <c r="AB31" s="43">
        <f>IF(Curva!AB31="","",SUM(Curva!AB$3:AB31))</f>
        <v/>
      </c>
      <c r="AC31" s="43">
        <f>IF(Curva!AC31="","",SUM(Curva!AC$3:AC31))</f>
        <v/>
      </c>
      <c r="AD31" s="43">
        <f>IF(Curva!AD31="","",SUM(Curva!AD$3:AD31))</f>
        <v/>
      </c>
      <c r="AE31" s="43">
        <f>IF(Curva!AE31="","",SUM(Curva!AE$3:AE31))</f>
        <v/>
      </c>
      <c r="AF31" s="43">
        <f>IF(Curva!AF31="","",SUM(Curva!AF$3:AF31))</f>
        <v/>
      </c>
      <c r="AG31" s="43">
        <f>IF(Curva!AG31="","",SUM(Curva!AG$3:AG31))</f>
        <v/>
      </c>
      <c r="AH31" s="43">
        <f>IF(Curva!AH31="","",SUM(Curva!AH$3:AH31))</f>
        <v/>
      </c>
      <c r="AI31" s="43">
        <f>IF(Curva!AI31="","",SUM(Curva!AI$3:AI31))</f>
        <v/>
      </c>
      <c r="AJ31" s="43">
        <f>IF(Curva!AJ31="","",SUM(Curva!AJ$3:AJ31))</f>
        <v/>
      </c>
      <c r="AK31" s="43">
        <f>IF(Curva!AK31="","",SUM(Curva!AK$3:AK31))</f>
        <v/>
      </c>
    </row>
    <row r="32" ht="15" customHeight="1" s="23">
      <c r="A32" s="25" t="n">
        <v>30</v>
      </c>
      <c r="B32" s="43">
        <f>IF(Curva!B32="","",SUM(Curva!B$3:B32))</f>
        <v/>
      </c>
      <c r="C32" s="43">
        <f>IF(Curva!C32="","",SUM(Curva!C$3:C32))</f>
        <v/>
      </c>
      <c r="D32" s="43">
        <f>IF(Curva!D32="","",SUM(Curva!D$3:D32))</f>
        <v/>
      </c>
      <c r="E32" s="43">
        <f>IF(Curva!E32="","",SUM(Curva!E$3:E32))</f>
        <v/>
      </c>
      <c r="F32" s="43">
        <f>IF(Curva!F32="","",SUM(Curva!F$3:F32))</f>
        <v/>
      </c>
      <c r="G32" s="43">
        <f>IF(Curva!G32="","",SUM(Curva!G$3:G32))</f>
        <v/>
      </c>
      <c r="H32" s="43">
        <f>IF(Curva!H32="","",SUM(Curva!H$3:H32))</f>
        <v/>
      </c>
      <c r="I32" s="43">
        <f>IF(Curva!I32="","",SUM(Curva!I$3:I32))</f>
        <v/>
      </c>
      <c r="J32" s="43">
        <f>IF(Curva!J32="","",SUM(Curva!J$3:J32))</f>
        <v/>
      </c>
      <c r="K32" s="43">
        <f>IF(Curva!K32="","",SUM(Curva!K$3:K32))</f>
        <v/>
      </c>
      <c r="L32" s="43">
        <f>IF(Curva!L32="","",SUM(Curva!L$3:L32))</f>
        <v/>
      </c>
      <c r="M32" s="43">
        <f>IF(Curva!M32="","",SUM(Curva!M$3:M32))</f>
        <v/>
      </c>
      <c r="N32" s="43">
        <f>IF(Curva!N32="","",SUM(Curva!N$3:N32))</f>
        <v/>
      </c>
      <c r="O32" s="43">
        <f>IF(Curva!O32="","",SUM(Curva!O$3:O32))</f>
        <v/>
      </c>
      <c r="P32" s="43">
        <f>IF(Curva!P32="","",SUM(Curva!P$3:P32))</f>
        <v/>
      </c>
      <c r="Q32" s="43">
        <f>IF(Curva!Q32="","",SUM(Curva!Q$3:Q32))</f>
        <v/>
      </c>
      <c r="R32" s="43">
        <f>IF(Curva!R32="","",SUM(Curva!R$3:R32))</f>
        <v/>
      </c>
      <c r="S32" s="43">
        <f>IF(Curva!S32="","",SUM(Curva!S$3:S32))</f>
        <v/>
      </c>
      <c r="T32" s="43">
        <f>IF(Curva!T32="","",SUM(Curva!T$3:T32))</f>
        <v/>
      </c>
      <c r="U32" s="43">
        <f>IF(Curva!U32="","",SUM(Curva!U$3:U32))</f>
        <v/>
      </c>
      <c r="V32" s="43">
        <f>IF(Curva!V32="","",SUM(Curva!V$3:V32))</f>
        <v/>
      </c>
      <c r="W32" s="43">
        <f>IF(Curva!W32="","",SUM(Curva!W$3:W32))</f>
        <v/>
      </c>
      <c r="X32" s="43">
        <f>IF(Curva!X32="","",SUM(Curva!X$3:X32))</f>
        <v/>
      </c>
      <c r="Y32" s="43">
        <f>IF(Curva!Y32="","",SUM(Curva!Y$3:Y32))</f>
        <v/>
      </c>
      <c r="Z32" s="43">
        <f>IF(Curva!Z32="","",SUM(Curva!Z$3:Z32))</f>
        <v/>
      </c>
      <c r="AA32" s="43">
        <f>IF(Curva!AA32="","",SUM(Curva!AA$3:AA32))</f>
        <v/>
      </c>
      <c r="AB32" s="43">
        <f>IF(Curva!AB32="","",SUM(Curva!AB$3:AB32))</f>
        <v/>
      </c>
      <c r="AC32" s="43">
        <f>IF(Curva!AC32="","",SUM(Curva!AC$3:AC32))</f>
        <v/>
      </c>
      <c r="AD32" s="43">
        <f>IF(Curva!AD32="","",SUM(Curva!AD$3:AD32))</f>
        <v/>
      </c>
      <c r="AE32" s="43">
        <f>IF(Curva!AE32="","",SUM(Curva!AE$3:AE32))</f>
        <v/>
      </c>
      <c r="AF32" s="43">
        <f>IF(Curva!AF32="","",SUM(Curva!AF$3:AF32))</f>
        <v/>
      </c>
      <c r="AG32" s="43">
        <f>IF(Curva!AG32="","",SUM(Curva!AG$3:AG32))</f>
        <v/>
      </c>
      <c r="AH32" s="43">
        <f>IF(Curva!AH32="","",SUM(Curva!AH$3:AH32))</f>
        <v/>
      </c>
      <c r="AI32" s="43">
        <f>IF(Curva!AI32="","",SUM(Curva!AI$3:AI32))</f>
        <v/>
      </c>
      <c r="AJ32" s="43">
        <f>IF(Curva!AJ32="","",SUM(Curva!AJ$3:AJ32))</f>
        <v/>
      </c>
      <c r="AK32" s="43">
        <f>IF(Curva!AK32="","",SUM(Curva!AK$3:AK32))</f>
        <v/>
      </c>
    </row>
    <row r="33" ht="15" customHeight="1" s="23">
      <c r="A33" s="25" t="n">
        <v>31</v>
      </c>
      <c r="B33" s="43">
        <f>IF(Curva!B33="","",SUM(Curva!B$3:B33))</f>
        <v/>
      </c>
      <c r="C33" s="43">
        <f>IF(Curva!C33="","",SUM(Curva!C$3:C33))</f>
        <v/>
      </c>
      <c r="D33" s="43">
        <f>IF(Curva!D33="","",SUM(Curva!D$3:D33))</f>
        <v/>
      </c>
      <c r="E33" s="43">
        <f>IF(Curva!E33="","",SUM(Curva!E$3:E33))</f>
        <v/>
      </c>
      <c r="F33" s="43">
        <f>IF(Curva!F33="","",SUM(Curva!F$3:F33))</f>
        <v/>
      </c>
      <c r="G33" s="43">
        <f>IF(Curva!G33="","",SUM(Curva!G$3:G33))</f>
        <v/>
      </c>
      <c r="H33" s="43">
        <f>IF(Curva!H33="","",SUM(Curva!H$3:H33))</f>
        <v/>
      </c>
      <c r="I33" s="43">
        <f>IF(Curva!I33="","",SUM(Curva!I$3:I33))</f>
        <v/>
      </c>
      <c r="J33" s="43">
        <f>IF(Curva!J33="","",SUM(Curva!J$3:J33))</f>
        <v/>
      </c>
      <c r="K33" s="43">
        <f>IF(Curva!K33="","",SUM(Curva!K$3:K33))</f>
        <v/>
      </c>
      <c r="L33" s="43">
        <f>IF(Curva!L33="","",SUM(Curva!L$3:L33))</f>
        <v/>
      </c>
      <c r="M33" s="43">
        <f>IF(Curva!M33="","",SUM(Curva!M$3:M33))</f>
        <v/>
      </c>
      <c r="N33" s="43">
        <f>IF(Curva!N33="","",SUM(Curva!N$3:N33))</f>
        <v/>
      </c>
      <c r="O33" s="43">
        <f>IF(Curva!O33="","",SUM(Curva!O$3:O33))</f>
        <v/>
      </c>
      <c r="P33" s="43">
        <f>IF(Curva!P33="","",SUM(Curva!P$3:P33))</f>
        <v/>
      </c>
      <c r="Q33" s="43">
        <f>IF(Curva!Q33="","",SUM(Curva!Q$3:Q33))</f>
        <v/>
      </c>
      <c r="R33" s="43">
        <f>IF(Curva!R33="","",SUM(Curva!R$3:R33))</f>
        <v/>
      </c>
      <c r="S33" s="43">
        <f>IF(Curva!S33="","",SUM(Curva!S$3:S33))</f>
        <v/>
      </c>
      <c r="T33" s="43">
        <f>IF(Curva!T33="","",SUM(Curva!T$3:T33))</f>
        <v/>
      </c>
      <c r="U33" s="43">
        <f>IF(Curva!U33="","",SUM(Curva!U$3:U33))</f>
        <v/>
      </c>
      <c r="V33" s="43">
        <f>IF(Curva!V33="","",SUM(Curva!V$3:V33))</f>
        <v/>
      </c>
      <c r="W33" s="43">
        <f>IF(Curva!W33="","",SUM(Curva!W$3:W33))</f>
        <v/>
      </c>
      <c r="X33" s="43">
        <f>IF(Curva!X33="","",SUM(Curva!X$3:X33))</f>
        <v/>
      </c>
      <c r="Y33" s="43">
        <f>IF(Curva!Y33="","",SUM(Curva!Y$3:Y33))</f>
        <v/>
      </c>
      <c r="Z33" s="43">
        <f>IF(Curva!Z33="","",SUM(Curva!Z$3:Z33))</f>
        <v/>
      </c>
      <c r="AA33" s="43">
        <f>IF(Curva!AA33="","",SUM(Curva!AA$3:AA33))</f>
        <v/>
      </c>
      <c r="AB33" s="43">
        <f>IF(Curva!AB33="","",SUM(Curva!AB$3:AB33))</f>
        <v/>
      </c>
      <c r="AC33" s="43">
        <f>IF(Curva!AC33="","",SUM(Curva!AC$3:AC33))</f>
        <v/>
      </c>
      <c r="AD33" s="43">
        <f>IF(Curva!AD33="","",SUM(Curva!AD$3:AD33))</f>
        <v/>
      </c>
      <c r="AE33" s="43">
        <f>IF(Curva!AE33="","",SUM(Curva!AE$3:AE33))</f>
        <v/>
      </c>
      <c r="AF33" s="43">
        <f>IF(Curva!AF33="","",SUM(Curva!AF$3:AF33))</f>
        <v/>
      </c>
      <c r="AG33" s="43">
        <f>IF(Curva!AG33="","",SUM(Curva!AG$3:AG33))</f>
        <v/>
      </c>
      <c r="AH33" s="43">
        <f>IF(Curva!AH33="","",SUM(Curva!AH$3:AH33))</f>
        <v/>
      </c>
      <c r="AI33" s="43">
        <f>IF(Curva!AI33="","",SUM(Curva!AI$3:AI33))</f>
        <v/>
      </c>
      <c r="AJ33" s="43">
        <f>IF(Curva!AJ33="","",SUM(Curva!AJ$3:AJ33))</f>
        <v/>
      </c>
      <c r="AK33" s="43">
        <f>IF(Curva!AK33="","",SUM(Curva!AK$3:AK33))</f>
        <v/>
      </c>
    </row>
    <row r="34" ht="15" customHeight="1" s="23">
      <c r="A34" s="25" t="n">
        <v>32</v>
      </c>
      <c r="B34" s="43">
        <f>IF(Curva!B34="","",SUM(Curva!B$3:B34))</f>
        <v/>
      </c>
      <c r="C34" s="43">
        <f>IF(Curva!C34="","",SUM(Curva!C$3:C34))</f>
        <v/>
      </c>
      <c r="D34" s="43">
        <f>IF(Curva!D34="","",SUM(Curva!D$3:D34))</f>
        <v/>
      </c>
      <c r="E34" s="43">
        <f>IF(Curva!E34="","",SUM(Curva!E$3:E34))</f>
        <v/>
      </c>
      <c r="F34" s="43">
        <f>IF(Curva!F34="","",SUM(Curva!F$3:F34))</f>
        <v/>
      </c>
      <c r="G34" s="43">
        <f>IF(Curva!G34="","",SUM(Curva!G$3:G34))</f>
        <v/>
      </c>
      <c r="H34" s="43">
        <f>IF(Curva!H34="","",SUM(Curva!H$3:H34))</f>
        <v/>
      </c>
      <c r="I34" s="43">
        <f>IF(Curva!I34="","",SUM(Curva!I$3:I34))</f>
        <v/>
      </c>
      <c r="J34" s="43">
        <f>IF(Curva!J34="","",SUM(Curva!J$3:J34))</f>
        <v/>
      </c>
      <c r="K34" s="43">
        <f>IF(Curva!K34="","",SUM(Curva!K$3:K34))</f>
        <v/>
      </c>
      <c r="L34" s="43">
        <f>IF(Curva!L34="","",SUM(Curva!L$3:L34))</f>
        <v/>
      </c>
      <c r="M34" s="43">
        <f>IF(Curva!M34="","",SUM(Curva!M$3:M34))</f>
        <v/>
      </c>
      <c r="N34" s="43">
        <f>IF(Curva!N34="","",SUM(Curva!N$3:N34))</f>
        <v/>
      </c>
      <c r="O34" s="43">
        <f>IF(Curva!O34="","",SUM(Curva!O$3:O34))</f>
        <v/>
      </c>
      <c r="P34" s="43">
        <f>IF(Curva!P34="","",SUM(Curva!P$3:P34))</f>
        <v/>
      </c>
      <c r="Q34" s="43">
        <f>IF(Curva!Q34="","",SUM(Curva!Q$3:Q34))</f>
        <v/>
      </c>
      <c r="R34" s="43">
        <f>IF(Curva!R34="","",SUM(Curva!R$3:R34))</f>
        <v/>
      </c>
      <c r="S34" s="43">
        <f>IF(Curva!S34="","",SUM(Curva!S$3:S34))</f>
        <v/>
      </c>
      <c r="T34" s="43">
        <f>IF(Curva!T34="","",SUM(Curva!T$3:T34))</f>
        <v/>
      </c>
      <c r="U34" s="43">
        <f>IF(Curva!U34="","",SUM(Curva!U$3:U34))</f>
        <v/>
      </c>
      <c r="V34" s="43">
        <f>IF(Curva!V34="","",SUM(Curva!V$3:V34))</f>
        <v/>
      </c>
      <c r="W34" s="43">
        <f>IF(Curva!W34="","",SUM(Curva!W$3:W34))</f>
        <v/>
      </c>
      <c r="X34" s="43">
        <f>IF(Curva!X34="","",SUM(Curva!X$3:X34))</f>
        <v/>
      </c>
      <c r="Y34" s="43">
        <f>IF(Curva!Y34="","",SUM(Curva!Y$3:Y34))</f>
        <v/>
      </c>
      <c r="Z34" s="43">
        <f>IF(Curva!Z34="","",SUM(Curva!Z$3:Z34))</f>
        <v/>
      </c>
      <c r="AA34" s="43">
        <f>IF(Curva!AA34="","",SUM(Curva!AA$3:AA34))</f>
        <v/>
      </c>
      <c r="AB34" s="43">
        <f>IF(Curva!AB34="","",SUM(Curva!AB$3:AB34))</f>
        <v/>
      </c>
      <c r="AC34" s="43">
        <f>IF(Curva!AC34="","",SUM(Curva!AC$3:AC34))</f>
        <v/>
      </c>
      <c r="AD34" s="43">
        <f>IF(Curva!AD34="","",SUM(Curva!AD$3:AD34))</f>
        <v/>
      </c>
      <c r="AE34" s="43">
        <f>IF(Curva!AE34="","",SUM(Curva!AE$3:AE34))</f>
        <v/>
      </c>
      <c r="AF34" s="43">
        <f>IF(Curva!AF34="","",SUM(Curva!AF$3:AF34))</f>
        <v/>
      </c>
      <c r="AG34" s="43">
        <f>IF(Curva!AG34="","",SUM(Curva!AG$3:AG34))</f>
        <v/>
      </c>
      <c r="AH34" s="43">
        <f>IF(Curva!AH34="","",SUM(Curva!AH$3:AH34))</f>
        <v/>
      </c>
      <c r="AI34" s="43">
        <f>IF(Curva!AI34="","",SUM(Curva!AI$3:AI34))</f>
        <v/>
      </c>
      <c r="AJ34" s="43">
        <f>IF(Curva!AJ34="","",SUM(Curva!AJ$3:AJ34))</f>
        <v/>
      </c>
      <c r="AK34" s="43">
        <f>IF(Curva!AK34="","",SUM(Curva!AK$3:AK34))</f>
        <v/>
      </c>
    </row>
    <row r="35" ht="15" customHeight="1" s="23">
      <c r="A35" s="25" t="n">
        <v>33</v>
      </c>
      <c r="B35" s="43">
        <f>IF(Curva!B35="","",SUM(Curva!B$3:B35))</f>
        <v/>
      </c>
      <c r="C35" s="43">
        <f>IF(Curva!C35="","",SUM(Curva!C$3:C35))</f>
        <v/>
      </c>
      <c r="D35" s="43">
        <f>IF(Curva!D35="","",SUM(Curva!D$3:D35))</f>
        <v/>
      </c>
      <c r="E35" s="43">
        <f>IF(Curva!E35="","",SUM(Curva!E$3:E35))</f>
        <v/>
      </c>
      <c r="F35" s="43">
        <f>IF(Curva!F35="","",SUM(Curva!F$3:F35))</f>
        <v/>
      </c>
      <c r="G35" s="43">
        <f>IF(Curva!G35="","",SUM(Curva!G$3:G35))</f>
        <v/>
      </c>
      <c r="H35" s="43">
        <f>IF(Curva!H35="","",SUM(Curva!H$3:H35))</f>
        <v/>
      </c>
      <c r="I35" s="43">
        <f>IF(Curva!I35="","",SUM(Curva!I$3:I35))</f>
        <v/>
      </c>
      <c r="J35" s="43">
        <f>IF(Curva!J35="","",SUM(Curva!J$3:J35))</f>
        <v/>
      </c>
      <c r="K35" s="43">
        <f>IF(Curva!K35="","",SUM(Curva!K$3:K35))</f>
        <v/>
      </c>
      <c r="L35" s="43">
        <f>IF(Curva!L35="","",SUM(Curva!L$3:L35))</f>
        <v/>
      </c>
      <c r="M35" s="43">
        <f>IF(Curva!M35="","",SUM(Curva!M$3:M35))</f>
        <v/>
      </c>
      <c r="N35" s="43">
        <f>IF(Curva!N35="","",SUM(Curva!N$3:N35))</f>
        <v/>
      </c>
      <c r="O35" s="43">
        <f>IF(Curva!O35="","",SUM(Curva!O$3:O35))</f>
        <v/>
      </c>
      <c r="P35" s="43">
        <f>IF(Curva!P35="","",SUM(Curva!P$3:P35))</f>
        <v/>
      </c>
      <c r="Q35" s="43">
        <f>IF(Curva!Q35="","",SUM(Curva!Q$3:Q35))</f>
        <v/>
      </c>
      <c r="R35" s="43">
        <f>IF(Curva!R35="","",SUM(Curva!R$3:R35))</f>
        <v/>
      </c>
      <c r="S35" s="43">
        <f>IF(Curva!S35="","",SUM(Curva!S$3:S35))</f>
        <v/>
      </c>
      <c r="T35" s="43">
        <f>IF(Curva!T35="","",SUM(Curva!T$3:T35))</f>
        <v/>
      </c>
      <c r="U35" s="43">
        <f>IF(Curva!U35="","",SUM(Curva!U$3:U35))</f>
        <v/>
      </c>
      <c r="V35" s="43">
        <f>IF(Curva!V35="","",SUM(Curva!V$3:V35))</f>
        <v/>
      </c>
      <c r="W35" s="43">
        <f>IF(Curva!W35="","",SUM(Curva!W$3:W35))</f>
        <v/>
      </c>
      <c r="X35" s="43">
        <f>IF(Curva!X35="","",SUM(Curva!X$3:X35))</f>
        <v/>
      </c>
      <c r="Y35" s="43">
        <f>IF(Curva!Y35="","",SUM(Curva!Y$3:Y35))</f>
        <v/>
      </c>
      <c r="Z35" s="43">
        <f>IF(Curva!Z35="","",SUM(Curva!Z$3:Z35))</f>
        <v/>
      </c>
      <c r="AA35" s="43">
        <f>IF(Curva!AA35="","",SUM(Curva!AA$3:AA35))</f>
        <v/>
      </c>
      <c r="AB35" s="43">
        <f>IF(Curva!AB35="","",SUM(Curva!AB$3:AB35))</f>
        <v/>
      </c>
      <c r="AC35" s="43">
        <f>IF(Curva!AC35="","",SUM(Curva!AC$3:AC35))</f>
        <v/>
      </c>
      <c r="AD35" s="43">
        <f>IF(Curva!AD35="","",SUM(Curva!AD$3:AD35))</f>
        <v/>
      </c>
      <c r="AE35" s="43">
        <f>IF(Curva!AE35="","",SUM(Curva!AE$3:AE35))</f>
        <v/>
      </c>
      <c r="AF35" s="43">
        <f>IF(Curva!AF35="","",SUM(Curva!AF$3:AF35))</f>
        <v/>
      </c>
      <c r="AG35" s="43">
        <f>IF(Curva!AG35="","",SUM(Curva!AG$3:AG35))</f>
        <v/>
      </c>
      <c r="AH35" s="43">
        <f>IF(Curva!AH35="","",SUM(Curva!AH$3:AH35))</f>
        <v/>
      </c>
      <c r="AI35" s="43">
        <f>IF(Curva!AI35="","",SUM(Curva!AI$3:AI35))</f>
        <v/>
      </c>
      <c r="AJ35" s="43">
        <f>IF(Curva!AJ35="","",SUM(Curva!AJ$3:AJ35))</f>
        <v/>
      </c>
      <c r="AK35" s="43">
        <f>IF(Curva!AK35="","",SUM(Curva!AK$3:AK35))</f>
        <v/>
      </c>
    </row>
    <row r="36" ht="15" customHeight="1" s="23">
      <c r="A36" s="25" t="n">
        <v>34</v>
      </c>
      <c r="B36" s="43">
        <f>IF(Curva!B36="","",SUM(Curva!B$3:B36))</f>
        <v/>
      </c>
      <c r="C36" s="43">
        <f>IF(Curva!C36="","",SUM(Curva!C$3:C36))</f>
        <v/>
      </c>
      <c r="D36" s="43">
        <f>IF(Curva!D36="","",SUM(Curva!D$3:D36))</f>
        <v/>
      </c>
      <c r="E36" s="43">
        <f>IF(Curva!E36="","",SUM(Curva!E$3:E36))</f>
        <v/>
      </c>
      <c r="F36" s="43">
        <f>IF(Curva!F36="","",SUM(Curva!F$3:F36))</f>
        <v/>
      </c>
      <c r="G36" s="43">
        <f>IF(Curva!G36="","",SUM(Curva!G$3:G36))</f>
        <v/>
      </c>
      <c r="H36" s="43">
        <f>IF(Curva!H36="","",SUM(Curva!H$3:H36))</f>
        <v/>
      </c>
      <c r="I36" s="43">
        <f>IF(Curva!I36="","",SUM(Curva!I$3:I36))</f>
        <v/>
      </c>
      <c r="J36" s="43">
        <f>IF(Curva!J36="","",SUM(Curva!J$3:J36))</f>
        <v/>
      </c>
      <c r="K36" s="43">
        <f>IF(Curva!K36="","",SUM(Curva!K$3:K36))</f>
        <v/>
      </c>
      <c r="L36" s="43">
        <f>IF(Curva!L36="","",SUM(Curva!L$3:L36))</f>
        <v/>
      </c>
      <c r="M36" s="43">
        <f>IF(Curva!M36="","",SUM(Curva!M$3:M36))</f>
        <v/>
      </c>
      <c r="N36" s="43">
        <f>IF(Curva!N36="","",SUM(Curva!N$3:N36))</f>
        <v/>
      </c>
      <c r="O36" s="43">
        <f>IF(Curva!O36="","",SUM(Curva!O$3:O36))</f>
        <v/>
      </c>
      <c r="P36" s="43">
        <f>IF(Curva!P36="","",SUM(Curva!P$3:P36))</f>
        <v/>
      </c>
      <c r="Q36" s="43">
        <f>IF(Curva!Q36="","",SUM(Curva!Q$3:Q36))</f>
        <v/>
      </c>
      <c r="R36" s="43">
        <f>IF(Curva!R36="","",SUM(Curva!R$3:R36))</f>
        <v/>
      </c>
      <c r="S36" s="43">
        <f>IF(Curva!S36="","",SUM(Curva!S$3:S36))</f>
        <v/>
      </c>
      <c r="T36" s="43">
        <f>IF(Curva!T36="","",SUM(Curva!T$3:T36))</f>
        <v/>
      </c>
      <c r="U36" s="43">
        <f>IF(Curva!U36="","",SUM(Curva!U$3:U36))</f>
        <v/>
      </c>
      <c r="V36" s="43">
        <f>IF(Curva!V36="","",SUM(Curva!V$3:V36))</f>
        <v/>
      </c>
      <c r="W36" s="43">
        <f>IF(Curva!W36="","",SUM(Curva!W$3:W36))</f>
        <v/>
      </c>
      <c r="X36" s="43">
        <f>IF(Curva!X36="","",SUM(Curva!X$3:X36))</f>
        <v/>
      </c>
      <c r="Y36" s="43">
        <f>IF(Curva!Y36="","",SUM(Curva!Y$3:Y36))</f>
        <v/>
      </c>
      <c r="Z36" s="43">
        <f>IF(Curva!Z36="","",SUM(Curva!Z$3:Z36))</f>
        <v/>
      </c>
      <c r="AA36" s="43">
        <f>IF(Curva!AA36="","",SUM(Curva!AA$3:AA36))</f>
        <v/>
      </c>
      <c r="AB36" s="43">
        <f>IF(Curva!AB36="","",SUM(Curva!AB$3:AB36))</f>
        <v/>
      </c>
      <c r="AC36" s="43">
        <f>IF(Curva!AC36="","",SUM(Curva!AC$3:AC36))</f>
        <v/>
      </c>
      <c r="AD36" s="43">
        <f>IF(Curva!AD36="","",SUM(Curva!AD$3:AD36))</f>
        <v/>
      </c>
      <c r="AE36" s="43">
        <f>IF(Curva!AE36="","",SUM(Curva!AE$3:AE36))</f>
        <v/>
      </c>
      <c r="AF36" s="43">
        <f>IF(Curva!AF36="","",SUM(Curva!AF$3:AF36))</f>
        <v/>
      </c>
      <c r="AG36" s="43">
        <f>IF(Curva!AG36="","",SUM(Curva!AG$3:AG36))</f>
        <v/>
      </c>
      <c r="AH36" s="43">
        <f>IF(Curva!AH36="","",SUM(Curva!AH$3:AH36))</f>
        <v/>
      </c>
      <c r="AI36" s="43">
        <f>IF(Curva!AI36="","",SUM(Curva!AI$3:AI36))</f>
        <v/>
      </c>
      <c r="AJ36" s="43">
        <f>IF(Curva!AJ36="","",SUM(Curva!AJ$3:AJ36))</f>
        <v/>
      </c>
      <c r="AK36" s="43">
        <f>IF(Curva!AK36="","",SUM(Curva!AK$3:AK36))</f>
        <v/>
      </c>
    </row>
    <row r="37" ht="15" customHeight="1" s="23">
      <c r="A37" s="25" t="n">
        <v>35</v>
      </c>
      <c r="B37" s="43">
        <f>IF(Curva!B37="","",SUM(Curva!B$3:B37))</f>
        <v/>
      </c>
      <c r="C37" s="43">
        <f>IF(Curva!C37="","",SUM(Curva!C$3:C37))</f>
        <v/>
      </c>
      <c r="D37" s="43">
        <f>IF(Curva!D37="","",SUM(Curva!D$3:D37))</f>
        <v/>
      </c>
      <c r="E37" s="43">
        <f>IF(Curva!E37="","",SUM(Curva!E$3:E37))</f>
        <v/>
      </c>
      <c r="F37" s="43">
        <f>IF(Curva!F37="","",SUM(Curva!F$3:F37))</f>
        <v/>
      </c>
      <c r="G37" s="43">
        <f>IF(Curva!G37="","",SUM(Curva!G$3:G37))</f>
        <v/>
      </c>
      <c r="H37" s="43">
        <f>IF(Curva!H37="","",SUM(Curva!H$3:H37))</f>
        <v/>
      </c>
      <c r="I37" s="43">
        <f>IF(Curva!I37="","",SUM(Curva!I$3:I37))</f>
        <v/>
      </c>
      <c r="J37" s="43">
        <f>IF(Curva!J37="","",SUM(Curva!J$3:J37))</f>
        <v/>
      </c>
      <c r="K37" s="43">
        <f>IF(Curva!K37="","",SUM(Curva!K$3:K37))</f>
        <v/>
      </c>
      <c r="L37" s="43">
        <f>IF(Curva!L37="","",SUM(Curva!L$3:L37))</f>
        <v/>
      </c>
      <c r="M37" s="43">
        <f>IF(Curva!M37="","",SUM(Curva!M$3:M37))</f>
        <v/>
      </c>
      <c r="N37" s="43">
        <f>IF(Curva!N37="","",SUM(Curva!N$3:N37))</f>
        <v/>
      </c>
      <c r="O37" s="43">
        <f>IF(Curva!O37="","",SUM(Curva!O$3:O37))</f>
        <v/>
      </c>
      <c r="P37" s="43">
        <f>IF(Curva!P37="","",SUM(Curva!P$3:P37))</f>
        <v/>
      </c>
      <c r="Q37" s="43">
        <f>IF(Curva!Q37="","",SUM(Curva!Q$3:Q37))</f>
        <v/>
      </c>
      <c r="R37" s="43">
        <f>IF(Curva!R37="","",SUM(Curva!R$3:R37))</f>
        <v/>
      </c>
      <c r="S37" s="43">
        <f>IF(Curva!S37="","",SUM(Curva!S$3:S37))</f>
        <v/>
      </c>
      <c r="T37" s="43">
        <f>IF(Curva!T37="","",SUM(Curva!T$3:T37))</f>
        <v/>
      </c>
      <c r="U37" s="43">
        <f>IF(Curva!U37="","",SUM(Curva!U$3:U37))</f>
        <v/>
      </c>
      <c r="V37" s="43">
        <f>IF(Curva!V37="","",SUM(Curva!V$3:V37))</f>
        <v/>
      </c>
      <c r="W37" s="43">
        <f>IF(Curva!W37="","",SUM(Curva!W$3:W37))</f>
        <v/>
      </c>
      <c r="X37" s="43">
        <f>IF(Curva!X37="","",SUM(Curva!X$3:X37))</f>
        <v/>
      </c>
      <c r="Y37" s="43">
        <f>IF(Curva!Y37="","",SUM(Curva!Y$3:Y37))</f>
        <v/>
      </c>
      <c r="Z37" s="43">
        <f>IF(Curva!Z37="","",SUM(Curva!Z$3:Z37))</f>
        <v/>
      </c>
      <c r="AA37" s="43">
        <f>IF(Curva!AA37="","",SUM(Curva!AA$3:AA37))</f>
        <v/>
      </c>
      <c r="AB37" s="43">
        <f>IF(Curva!AB37="","",SUM(Curva!AB$3:AB37))</f>
        <v/>
      </c>
      <c r="AC37" s="43">
        <f>IF(Curva!AC37="","",SUM(Curva!AC$3:AC37))</f>
        <v/>
      </c>
      <c r="AD37" s="43">
        <f>IF(Curva!AD37="","",SUM(Curva!AD$3:AD37))</f>
        <v/>
      </c>
      <c r="AE37" s="43">
        <f>IF(Curva!AE37="","",SUM(Curva!AE$3:AE37))</f>
        <v/>
      </c>
      <c r="AF37" s="43">
        <f>IF(Curva!AF37="","",SUM(Curva!AF$3:AF37))</f>
        <v/>
      </c>
      <c r="AG37" s="43">
        <f>IF(Curva!AG37="","",SUM(Curva!AG$3:AG37))</f>
        <v/>
      </c>
      <c r="AH37" s="43">
        <f>IF(Curva!AH37="","",SUM(Curva!AH$3:AH37))</f>
        <v/>
      </c>
      <c r="AI37" s="43">
        <f>IF(Curva!AI37="","",SUM(Curva!AI$3:AI37))</f>
        <v/>
      </c>
      <c r="AJ37" s="43">
        <f>IF(Curva!AJ37="","",SUM(Curva!AJ$3:AJ37))</f>
        <v/>
      </c>
      <c r="AK37" s="43">
        <f>IF(Curva!AK37="","",SUM(Curva!AK$3:AK37))</f>
        <v/>
      </c>
    </row>
    <row r="38" ht="15" customHeight="1" s="23">
      <c r="A38" s="25" t="n">
        <v>36</v>
      </c>
      <c r="B38" s="43">
        <f>IF(Curva!B38="","",SUM(Curva!B$3:B38))</f>
        <v/>
      </c>
      <c r="C38" s="43">
        <f>IF(Curva!C38="","",SUM(Curva!C$3:C38))</f>
        <v/>
      </c>
      <c r="D38" s="43">
        <f>IF(Curva!D38="","",SUM(Curva!D$3:D38))</f>
        <v/>
      </c>
      <c r="E38" s="43">
        <f>IF(Curva!E38="","",SUM(Curva!E$3:E38))</f>
        <v/>
      </c>
      <c r="F38" s="43">
        <f>IF(Curva!F38="","",SUM(Curva!F$3:F38))</f>
        <v/>
      </c>
      <c r="G38" s="43">
        <f>IF(Curva!G38="","",SUM(Curva!G$3:G38))</f>
        <v/>
      </c>
      <c r="H38" s="43">
        <f>IF(Curva!H38="","",SUM(Curva!H$3:H38))</f>
        <v/>
      </c>
      <c r="I38" s="43">
        <f>IF(Curva!I38="","",SUM(Curva!I$3:I38))</f>
        <v/>
      </c>
      <c r="J38" s="43">
        <f>IF(Curva!J38="","",SUM(Curva!J$3:J38))</f>
        <v/>
      </c>
      <c r="K38" s="43">
        <f>IF(Curva!K38="","",SUM(Curva!K$3:K38))</f>
        <v/>
      </c>
      <c r="L38" s="43">
        <f>IF(Curva!L38="","",SUM(Curva!L$3:L38))</f>
        <v/>
      </c>
      <c r="M38" s="43">
        <f>IF(Curva!M38="","",SUM(Curva!M$3:M38))</f>
        <v/>
      </c>
      <c r="N38" s="43">
        <f>IF(Curva!N38="","",SUM(Curva!N$3:N38))</f>
        <v/>
      </c>
      <c r="O38" s="43">
        <f>IF(Curva!O38="","",SUM(Curva!O$3:O38))</f>
        <v/>
      </c>
      <c r="P38" s="43">
        <f>IF(Curva!P38="","",SUM(Curva!P$3:P38))</f>
        <v/>
      </c>
      <c r="Q38" s="43">
        <f>IF(Curva!Q38="","",SUM(Curva!Q$3:Q38))</f>
        <v/>
      </c>
      <c r="R38" s="43">
        <f>IF(Curva!R38="","",SUM(Curva!R$3:R38))</f>
        <v/>
      </c>
      <c r="S38" s="43">
        <f>IF(Curva!S38="","",SUM(Curva!S$3:S38))</f>
        <v/>
      </c>
      <c r="T38" s="43">
        <f>IF(Curva!T38="","",SUM(Curva!T$3:T38))</f>
        <v/>
      </c>
      <c r="U38" s="43">
        <f>IF(Curva!U38="","",SUM(Curva!U$3:U38))</f>
        <v/>
      </c>
      <c r="V38" s="43">
        <f>IF(Curva!V38="","",SUM(Curva!V$3:V38))</f>
        <v/>
      </c>
      <c r="W38" s="43">
        <f>IF(Curva!W38="","",SUM(Curva!W$3:W38))</f>
        <v/>
      </c>
      <c r="X38" s="43">
        <f>IF(Curva!X38="","",SUM(Curva!X$3:X38))</f>
        <v/>
      </c>
      <c r="Y38" s="43">
        <f>IF(Curva!Y38="","",SUM(Curva!Y$3:Y38))</f>
        <v/>
      </c>
      <c r="Z38" s="43">
        <f>IF(Curva!Z38="","",SUM(Curva!Z$3:Z38))</f>
        <v/>
      </c>
      <c r="AA38" s="43">
        <f>IF(Curva!AA38="","",SUM(Curva!AA$3:AA38))</f>
        <v/>
      </c>
      <c r="AB38" s="43">
        <f>IF(Curva!AB38="","",SUM(Curva!AB$3:AB38))</f>
        <v/>
      </c>
      <c r="AC38" s="43">
        <f>IF(Curva!AC38="","",SUM(Curva!AC$3:AC38))</f>
        <v/>
      </c>
      <c r="AD38" s="43">
        <f>IF(Curva!AD38="","",SUM(Curva!AD$3:AD38))</f>
        <v/>
      </c>
      <c r="AE38" s="43">
        <f>IF(Curva!AE38="","",SUM(Curva!AE$3:AE38))</f>
        <v/>
      </c>
      <c r="AF38" s="43">
        <f>IF(Curva!AF38="","",SUM(Curva!AF$3:AF38))</f>
        <v/>
      </c>
      <c r="AG38" s="43">
        <f>IF(Curva!AG38="","",SUM(Curva!AG$3:AG38))</f>
        <v/>
      </c>
      <c r="AH38" s="43">
        <f>IF(Curva!AH38="","",SUM(Curva!AH$3:AH38))</f>
        <v/>
      </c>
      <c r="AI38" s="43">
        <f>IF(Curva!AI38="","",SUM(Curva!AI$3:AI38))</f>
        <v/>
      </c>
      <c r="AJ38" s="43">
        <f>IF(Curva!AJ38="","",SUM(Curva!AJ$3:AJ38))</f>
        <v/>
      </c>
      <c r="AK38" s="43">
        <f>IF(Curva!AK38="","",SUM(Curva!AK$3:AK38))</f>
        <v/>
      </c>
    </row>
    <row r="39" ht="15" customHeight="1" s="23">
      <c r="A39" s="25" t="n">
        <v>37</v>
      </c>
      <c r="B39" s="43">
        <f>IF(Curva!B39="","",SUM(Curva!B$3:B39))</f>
        <v/>
      </c>
      <c r="C39" s="43">
        <f>IF(Curva!C39="","",SUM(Curva!C$3:C39))</f>
        <v/>
      </c>
      <c r="D39" s="43">
        <f>IF(Curva!D39="","",SUM(Curva!D$3:D39))</f>
        <v/>
      </c>
      <c r="E39" s="43">
        <f>IF(Curva!E39="","",SUM(Curva!E$3:E39))</f>
        <v/>
      </c>
      <c r="F39" s="43">
        <f>IF(Curva!F39="","",SUM(Curva!F$3:F39))</f>
        <v/>
      </c>
      <c r="G39" s="43">
        <f>IF(Curva!G39="","",SUM(Curva!G$3:G39))</f>
        <v/>
      </c>
      <c r="H39" s="43">
        <f>IF(Curva!H39="","",SUM(Curva!H$3:H39))</f>
        <v/>
      </c>
      <c r="I39" s="43">
        <f>IF(Curva!I39="","",SUM(Curva!I$3:I39))</f>
        <v/>
      </c>
      <c r="J39" s="43">
        <f>IF(Curva!J39="","",SUM(Curva!J$3:J39))</f>
        <v/>
      </c>
      <c r="K39" s="43">
        <f>IF(Curva!K39="","",SUM(Curva!K$3:K39))</f>
        <v/>
      </c>
      <c r="L39" s="43">
        <f>IF(Curva!L39="","",SUM(Curva!L$3:L39))</f>
        <v/>
      </c>
      <c r="M39" s="43">
        <f>IF(Curva!M39="","",SUM(Curva!M$3:M39))</f>
        <v/>
      </c>
      <c r="N39" s="43">
        <f>IF(Curva!N39="","",SUM(Curva!N$3:N39))</f>
        <v/>
      </c>
      <c r="O39" s="43">
        <f>IF(Curva!O39="","",SUM(Curva!O$3:O39))</f>
        <v/>
      </c>
      <c r="P39" s="43">
        <f>IF(Curva!P39="","",SUM(Curva!P$3:P39))</f>
        <v/>
      </c>
      <c r="Q39" s="43">
        <f>IF(Curva!Q39="","",SUM(Curva!Q$3:Q39))</f>
        <v/>
      </c>
      <c r="R39" s="43">
        <f>IF(Curva!R39="","",SUM(Curva!R$3:R39))</f>
        <v/>
      </c>
      <c r="S39" s="43">
        <f>IF(Curva!S39="","",SUM(Curva!S$3:S39))</f>
        <v/>
      </c>
      <c r="T39" s="43">
        <f>IF(Curva!T39="","",SUM(Curva!T$3:T39))</f>
        <v/>
      </c>
      <c r="U39" s="43">
        <f>IF(Curva!U39="","",SUM(Curva!U$3:U39))</f>
        <v/>
      </c>
      <c r="V39" s="43">
        <f>IF(Curva!V39="","",SUM(Curva!V$3:V39))</f>
        <v/>
      </c>
      <c r="W39" s="43">
        <f>IF(Curva!W39="","",SUM(Curva!W$3:W39))</f>
        <v/>
      </c>
      <c r="X39" s="43">
        <f>IF(Curva!X39="","",SUM(Curva!X$3:X39))</f>
        <v/>
      </c>
      <c r="Y39" s="43">
        <f>IF(Curva!Y39="","",SUM(Curva!Y$3:Y39))</f>
        <v/>
      </c>
      <c r="Z39" s="43">
        <f>IF(Curva!Z39="","",SUM(Curva!Z$3:Z39))</f>
        <v/>
      </c>
      <c r="AA39" s="43">
        <f>IF(Curva!AA39="","",SUM(Curva!AA$3:AA39))</f>
        <v/>
      </c>
      <c r="AB39" s="43">
        <f>IF(Curva!AB39="","",SUM(Curva!AB$3:AB39))</f>
        <v/>
      </c>
      <c r="AC39" s="43">
        <f>IF(Curva!AC39="","",SUM(Curva!AC$3:AC39))</f>
        <v/>
      </c>
      <c r="AD39" s="43">
        <f>IF(Curva!AD39="","",SUM(Curva!AD$3:AD39))</f>
        <v/>
      </c>
      <c r="AE39" s="43">
        <f>IF(Curva!AE39="","",SUM(Curva!AE$3:AE39))</f>
        <v/>
      </c>
      <c r="AF39" s="43">
        <f>IF(Curva!AF39="","",SUM(Curva!AF$3:AF39))</f>
        <v/>
      </c>
      <c r="AG39" s="43">
        <f>IF(Curva!AG39="","",SUM(Curva!AG$3:AG39))</f>
        <v/>
      </c>
      <c r="AH39" s="43">
        <f>IF(Curva!AH39="","",SUM(Curva!AH$3:AH39))</f>
        <v/>
      </c>
      <c r="AI39" s="43">
        <f>IF(Curva!AI39="","",SUM(Curva!AI$3:AI39))</f>
        <v/>
      </c>
      <c r="AJ39" s="43">
        <f>IF(Curva!AJ39="","",SUM(Curva!AJ$3:AJ39))</f>
        <v/>
      </c>
      <c r="AK39" s="43">
        <f>IF(Curva!AK39="","",SUM(Curva!AK$3:AK39))</f>
        <v/>
      </c>
    </row>
    <row r="40" ht="15" customHeight="1" s="23">
      <c r="A40" s="25" t="n">
        <v>38</v>
      </c>
      <c r="B40" s="43">
        <f>IF(Curva!B40="","",SUM(Curva!B$3:B40))</f>
        <v/>
      </c>
      <c r="C40" s="43">
        <f>IF(Curva!C40="","",SUM(Curva!C$3:C40))</f>
        <v/>
      </c>
      <c r="D40" s="43">
        <f>IF(Curva!D40="","",SUM(Curva!D$3:D40))</f>
        <v/>
      </c>
      <c r="E40" s="43">
        <f>IF(Curva!E40="","",SUM(Curva!E$3:E40))</f>
        <v/>
      </c>
      <c r="F40" s="43">
        <f>IF(Curva!F40="","",SUM(Curva!F$3:F40))</f>
        <v/>
      </c>
      <c r="G40" s="43">
        <f>IF(Curva!G40="","",SUM(Curva!G$3:G40))</f>
        <v/>
      </c>
      <c r="H40" s="43">
        <f>IF(Curva!H40="","",SUM(Curva!H$3:H40))</f>
        <v/>
      </c>
      <c r="I40" s="43">
        <f>IF(Curva!I40="","",SUM(Curva!I$3:I40))</f>
        <v/>
      </c>
      <c r="J40" s="43">
        <f>IF(Curva!J40="","",SUM(Curva!J$3:J40))</f>
        <v/>
      </c>
      <c r="K40" s="43">
        <f>IF(Curva!K40="","",SUM(Curva!K$3:K40))</f>
        <v/>
      </c>
      <c r="L40" s="43">
        <f>IF(Curva!L40="","",SUM(Curva!L$3:L40))</f>
        <v/>
      </c>
      <c r="M40" s="43">
        <f>IF(Curva!M40="","",SUM(Curva!M$3:M40))</f>
        <v/>
      </c>
      <c r="N40" s="43">
        <f>IF(Curva!N40="","",SUM(Curva!N$3:N40))</f>
        <v/>
      </c>
      <c r="O40" s="43">
        <f>IF(Curva!O40="","",SUM(Curva!O$3:O40))</f>
        <v/>
      </c>
      <c r="P40" s="43">
        <f>IF(Curva!P40="","",SUM(Curva!P$3:P40))</f>
        <v/>
      </c>
      <c r="Q40" s="43">
        <f>IF(Curva!Q40="","",SUM(Curva!Q$3:Q40))</f>
        <v/>
      </c>
      <c r="R40" s="43">
        <f>IF(Curva!R40="","",SUM(Curva!R$3:R40))</f>
        <v/>
      </c>
      <c r="S40" s="43">
        <f>IF(Curva!S40="","",SUM(Curva!S$3:S40))</f>
        <v/>
      </c>
      <c r="T40" s="43">
        <f>IF(Curva!T40="","",SUM(Curva!T$3:T40))</f>
        <v/>
      </c>
      <c r="U40" s="43">
        <f>IF(Curva!U40="","",SUM(Curva!U$3:U40))</f>
        <v/>
      </c>
      <c r="V40" s="43">
        <f>IF(Curva!V40="","",SUM(Curva!V$3:V40))</f>
        <v/>
      </c>
      <c r="W40" s="43">
        <f>IF(Curva!W40="","",SUM(Curva!W$3:W40))</f>
        <v/>
      </c>
      <c r="X40" s="43">
        <f>IF(Curva!X40="","",SUM(Curva!X$3:X40))</f>
        <v/>
      </c>
      <c r="Y40" s="43">
        <f>IF(Curva!Y40="","",SUM(Curva!Y$3:Y40))</f>
        <v/>
      </c>
      <c r="Z40" s="43">
        <f>IF(Curva!Z40="","",SUM(Curva!Z$3:Z40))</f>
        <v/>
      </c>
      <c r="AA40" s="43">
        <f>IF(Curva!AA40="","",SUM(Curva!AA$3:AA40))</f>
        <v/>
      </c>
      <c r="AB40" s="43">
        <f>IF(Curva!AB40="","",SUM(Curva!AB$3:AB40))</f>
        <v/>
      </c>
      <c r="AC40" s="43">
        <f>IF(Curva!AC40="","",SUM(Curva!AC$3:AC40))</f>
        <v/>
      </c>
      <c r="AD40" s="43">
        <f>IF(Curva!AD40="","",SUM(Curva!AD$3:AD40))</f>
        <v/>
      </c>
      <c r="AE40" s="43">
        <f>IF(Curva!AE40="","",SUM(Curva!AE$3:AE40))</f>
        <v/>
      </c>
      <c r="AF40" s="43">
        <f>IF(Curva!AF40="","",SUM(Curva!AF$3:AF40))</f>
        <v/>
      </c>
      <c r="AG40" s="43">
        <f>IF(Curva!AG40="","",SUM(Curva!AG$3:AG40))</f>
        <v/>
      </c>
      <c r="AH40" s="43">
        <f>IF(Curva!AH40="","",SUM(Curva!AH$3:AH40))</f>
        <v/>
      </c>
      <c r="AI40" s="43">
        <f>IF(Curva!AI40="","",SUM(Curva!AI$3:AI40))</f>
        <v/>
      </c>
      <c r="AJ40" s="43">
        <f>IF(Curva!AJ40="","",SUM(Curva!AJ$3:AJ40))</f>
        <v/>
      </c>
      <c r="AK40" s="43">
        <f>IF(Curva!AK40="","",SUM(Curva!AK$3:AK40))</f>
        <v/>
      </c>
    </row>
    <row r="41" ht="15" customHeight="1" s="23">
      <c r="A41" s="25" t="n">
        <v>39</v>
      </c>
      <c r="B41" s="43">
        <f>IF(Curva!B41="","",SUM(Curva!B$3:B41))</f>
        <v/>
      </c>
      <c r="C41" s="43">
        <f>IF(Curva!C41="","",SUM(Curva!C$3:C41))</f>
        <v/>
      </c>
      <c r="D41" s="43">
        <f>IF(Curva!D41="","",SUM(Curva!D$3:D41))</f>
        <v/>
      </c>
      <c r="E41" s="43">
        <f>IF(Curva!E41="","",SUM(Curva!E$3:E41))</f>
        <v/>
      </c>
      <c r="F41" s="43">
        <f>IF(Curva!F41="","",SUM(Curva!F$3:F41))</f>
        <v/>
      </c>
      <c r="G41" s="43">
        <f>IF(Curva!G41="","",SUM(Curva!G$3:G41))</f>
        <v/>
      </c>
      <c r="H41" s="43">
        <f>IF(Curva!H41="","",SUM(Curva!H$3:H41))</f>
        <v/>
      </c>
      <c r="I41" s="43">
        <f>IF(Curva!I41="","",SUM(Curva!I$3:I41))</f>
        <v/>
      </c>
      <c r="J41" s="43">
        <f>IF(Curva!J41="","",SUM(Curva!J$3:J41))</f>
        <v/>
      </c>
      <c r="K41" s="43">
        <f>IF(Curva!K41="","",SUM(Curva!K$3:K41))</f>
        <v/>
      </c>
      <c r="L41" s="43">
        <f>IF(Curva!L41="","",SUM(Curva!L$3:L41))</f>
        <v/>
      </c>
      <c r="M41" s="43">
        <f>IF(Curva!M41="","",SUM(Curva!M$3:M41))</f>
        <v/>
      </c>
      <c r="N41" s="43">
        <f>IF(Curva!N41="","",SUM(Curva!N$3:N41))</f>
        <v/>
      </c>
      <c r="O41" s="43">
        <f>IF(Curva!O41="","",SUM(Curva!O$3:O41))</f>
        <v/>
      </c>
      <c r="P41" s="43">
        <f>IF(Curva!P41="","",SUM(Curva!P$3:P41))</f>
        <v/>
      </c>
      <c r="Q41" s="43">
        <f>IF(Curva!Q41="","",SUM(Curva!Q$3:Q41))</f>
        <v/>
      </c>
      <c r="R41" s="43">
        <f>IF(Curva!R41="","",SUM(Curva!R$3:R41))</f>
        <v/>
      </c>
      <c r="S41" s="43">
        <f>IF(Curva!S41="","",SUM(Curva!S$3:S41))</f>
        <v/>
      </c>
      <c r="T41" s="43">
        <f>IF(Curva!T41="","",SUM(Curva!T$3:T41))</f>
        <v/>
      </c>
      <c r="U41" s="43">
        <f>IF(Curva!U41="","",SUM(Curva!U$3:U41))</f>
        <v/>
      </c>
      <c r="V41" s="43">
        <f>IF(Curva!V41="","",SUM(Curva!V$3:V41))</f>
        <v/>
      </c>
      <c r="W41" s="43">
        <f>IF(Curva!W41="","",SUM(Curva!W$3:W41))</f>
        <v/>
      </c>
      <c r="X41" s="43">
        <f>IF(Curva!X41="","",SUM(Curva!X$3:X41))</f>
        <v/>
      </c>
      <c r="Y41" s="43">
        <f>IF(Curva!Y41="","",SUM(Curva!Y$3:Y41))</f>
        <v/>
      </c>
      <c r="Z41" s="43">
        <f>IF(Curva!Z41="","",SUM(Curva!Z$3:Z41))</f>
        <v/>
      </c>
      <c r="AA41" s="43">
        <f>IF(Curva!AA41="","",SUM(Curva!AA$3:AA41))</f>
        <v/>
      </c>
      <c r="AB41" s="43">
        <f>IF(Curva!AB41="","",SUM(Curva!AB$3:AB41))</f>
        <v/>
      </c>
      <c r="AC41" s="43">
        <f>IF(Curva!AC41="","",SUM(Curva!AC$3:AC41))</f>
        <v/>
      </c>
      <c r="AD41" s="43">
        <f>IF(Curva!AD41="","",SUM(Curva!AD$3:AD41))</f>
        <v/>
      </c>
      <c r="AE41" s="43">
        <f>IF(Curva!AE41="","",SUM(Curva!AE$3:AE41))</f>
        <v/>
      </c>
      <c r="AF41" s="43">
        <f>IF(Curva!AF41="","",SUM(Curva!AF$3:AF41))</f>
        <v/>
      </c>
      <c r="AG41" s="43">
        <f>IF(Curva!AG41="","",SUM(Curva!AG$3:AG41))</f>
        <v/>
      </c>
      <c r="AH41" s="43">
        <f>IF(Curva!AH41="","",SUM(Curva!AH$3:AH41))</f>
        <v/>
      </c>
      <c r="AI41" s="43">
        <f>IF(Curva!AI41="","",SUM(Curva!AI$3:AI41))</f>
        <v/>
      </c>
      <c r="AJ41" s="43">
        <f>IF(Curva!AJ41="","",SUM(Curva!AJ$3:AJ41))</f>
        <v/>
      </c>
      <c r="AK41" s="43">
        <f>IF(Curva!AK41="","",SUM(Curva!AK$3:AK41))</f>
        <v/>
      </c>
    </row>
    <row r="42" ht="15" customHeight="1" s="23">
      <c r="A42" s="25" t="n">
        <v>40</v>
      </c>
      <c r="B42" s="43">
        <f>IF(Curva!B42="","",SUM(Curva!B$3:B42))</f>
        <v/>
      </c>
      <c r="C42" s="43">
        <f>IF(Curva!C42="","",SUM(Curva!C$3:C42))</f>
        <v/>
      </c>
      <c r="D42" s="43">
        <f>IF(Curva!D42="","",SUM(Curva!D$3:D42))</f>
        <v/>
      </c>
      <c r="E42" s="43">
        <f>IF(Curva!E42="","",SUM(Curva!E$3:E42))</f>
        <v/>
      </c>
      <c r="F42" s="43">
        <f>IF(Curva!F42="","",SUM(Curva!F$3:F42))</f>
        <v/>
      </c>
      <c r="G42" s="43">
        <f>IF(Curva!G42="","",SUM(Curva!G$3:G42))</f>
        <v/>
      </c>
      <c r="H42" s="43">
        <f>IF(Curva!H42="","",SUM(Curva!H$3:H42))</f>
        <v/>
      </c>
      <c r="I42" s="43">
        <f>IF(Curva!I42="","",SUM(Curva!I$3:I42))</f>
        <v/>
      </c>
      <c r="J42" s="43">
        <f>IF(Curva!J42="","",SUM(Curva!J$3:J42))</f>
        <v/>
      </c>
      <c r="K42" s="43">
        <f>IF(Curva!K42="","",SUM(Curva!K$3:K42))</f>
        <v/>
      </c>
      <c r="L42" s="43">
        <f>IF(Curva!L42="","",SUM(Curva!L$3:L42))</f>
        <v/>
      </c>
      <c r="M42" s="43">
        <f>IF(Curva!M42="","",SUM(Curva!M$3:M42))</f>
        <v/>
      </c>
      <c r="N42" s="43">
        <f>IF(Curva!N42="","",SUM(Curva!N$3:N42))</f>
        <v/>
      </c>
      <c r="O42" s="43">
        <f>IF(Curva!O42="","",SUM(Curva!O$3:O42))</f>
        <v/>
      </c>
      <c r="P42" s="43">
        <f>IF(Curva!P42="","",SUM(Curva!P$3:P42))</f>
        <v/>
      </c>
      <c r="Q42" s="43">
        <f>IF(Curva!Q42="","",SUM(Curva!Q$3:Q42))</f>
        <v/>
      </c>
      <c r="R42" s="43">
        <f>IF(Curva!R42="","",SUM(Curva!R$3:R42))</f>
        <v/>
      </c>
      <c r="S42" s="43">
        <f>IF(Curva!S42="","",SUM(Curva!S$3:S42))</f>
        <v/>
      </c>
      <c r="T42" s="43">
        <f>IF(Curva!T42="","",SUM(Curva!T$3:T42))</f>
        <v/>
      </c>
      <c r="U42" s="43">
        <f>IF(Curva!U42="","",SUM(Curva!U$3:U42))</f>
        <v/>
      </c>
      <c r="V42" s="43">
        <f>IF(Curva!V42="","",SUM(Curva!V$3:V42))</f>
        <v/>
      </c>
      <c r="W42" s="43">
        <f>IF(Curva!W42="","",SUM(Curva!W$3:W42))</f>
        <v/>
      </c>
      <c r="X42" s="43">
        <f>IF(Curva!X42="","",SUM(Curva!X$3:X42))</f>
        <v/>
      </c>
      <c r="Y42" s="43">
        <f>IF(Curva!Y42="","",SUM(Curva!Y$3:Y42))</f>
        <v/>
      </c>
      <c r="Z42" s="43">
        <f>IF(Curva!Z42="","",SUM(Curva!Z$3:Z42))</f>
        <v/>
      </c>
      <c r="AA42" s="43">
        <f>IF(Curva!AA42="","",SUM(Curva!AA$3:AA42))</f>
        <v/>
      </c>
      <c r="AB42" s="43">
        <f>IF(Curva!AB42="","",SUM(Curva!AB$3:AB42))</f>
        <v/>
      </c>
      <c r="AC42" s="43">
        <f>IF(Curva!AC42="","",SUM(Curva!AC$3:AC42))</f>
        <v/>
      </c>
      <c r="AD42" s="43">
        <f>IF(Curva!AD42="","",SUM(Curva!AD$3:AD42))</f>
        <v/>
      </c>
      <c r="AE42" s="43">
        <f>IF(Curva!AE42="","",SUM(Curva!AE$3:AE42))</f>
        <v/>
      </c>
      <c r="AF42" s="43">
        <f>IF(Curva!AF42="","",SUM(Curva!AF$3:AF42))</f>
        <v/>
      </c>
      <c r="AG42" s="43">
        <f>IF(Curva!AG42="","",SUM(Curva!AG$3:AG42))</f>
        <v/>
      </c>
      <c r="AH42" s="43">
        <f>IF(Curva!AH42="","",SUM(Curva!AH$3:AH42))</f>
        <v/>
      </c>
      <c r="AI42" s="43">
        <f>IF(Curva!AI42="","",SUM(Curva!AI$3:AI42))</f>
        <v/>
      </c>
      <c r="AJ42" s="43">
        <f>IF(Curva!AJ42="","",SUM(Curva!AJ$3:AJ42))</f>
        <v/>
      </c>
      <c r="AK42" s="43">
        <f>IF(Curva!AK42="","",SUM(Curva!AK$3:AK42))</f>
        <v/>
      </c>
    </row>
    <row r="43" ht="15" customHeight="1" s="23">
      <c r="A43" s="25" t="n">
        <v>41</v>
      </c>
      <c r="B43" s="43">
        <f>IF(Curva!B43="","",SUM(Curva!B$3:B43))</f>
        <v/>
      </c>
      <c r="C43" s="43">
        <f>IF(Curva!C43="","",SUM(Curva!C$3:C43))</f>
        <v/>
      </c>
      <c r="D43" s="43">
        <f>IF(Curva!D43="","",SUM(Curva!D$3:D43))</f>
        <v/>
      </c>
      <c r="E43" s="43">
        <f>IF(Curva!E43="","",SUM(Curva!E$3:E43))</f>
        <v/>
      </c>
      <c r="F43" s="43">
        <f>IF(Curva!F43="","",SUM(Curva!F$3:F43))</f>
        <v/>
      </c>
      <c r="G43" s="43">
        <f>IF(Curva!G43="","",SUM(Curva!G$3:G43))</f>
        <v/>
      </c>
      <c r="H43" s="43">
        <f>IF(Curva!H43="","",SUM(Curva!H$3:H43))</f>
        <v/>
      </c>
      <c r="I43" s="43">
        <f>IF(Curva!I43="","",SUM(Curva!I$3:I43))</f>
        <v/>
      </c>
      <c r="J43" s="43">
        <f>IF(Curva!J43="","",SUM(Curva!J$3:J43))</f>
        <v/>
      </c>
      <c r="K43" s="43">
        <f>IF(Curva!K43="","",SUM(Curva!K$3:K43))</f>
        <v/>
      </c>
      <c r="L43" s="43">
        <f>IF(Curva!L43="","",SUM(Curva!L$3:L43))</f>
        <v/>
      </c>
      <c r="M43" s="43">
        <f>IF(Curva!M43="","",SUM(Curva!M$3:M43))</f>
        <v/>
      </c>
      <c r="N43" s="43">
        <f>IF(Curva!N43="","",SUM(Curva!N$3:N43))</f>
        <v/>
      </c>
      <c r="O43" s="43">
        <f>IF(Curva!O43="","",SUM(Curva!O$3:O43))</f>
        <v/>
      </c>
      <c r="P43" s="43">
        <f>IF(Curva!P43="","",SUM(Curva!P$3:P43))</f>
        <v/>
      </c>
      <c r="Q43" s="43">
        <f>IF(Curva!Q43="","",SUM(Curva!Q$3:Q43))</f>
        <v/>
      </c>
      <c r="R43" s="43">
        <f>IF(Curva!R43="","",SUM(Curva!R$3:R43))</f>
        <v/>
      </c>
      <c r="S43" s="43">
        <f>IF(Curva!S43="","",SUM(Curva!S$3:S43))</f>
        <v/>
      </c>
      <c r="T43" s="43">
        <f>IF(Curva!T43="","",SUM(Curva!T$3:T43))</f>
        <v/>
      </c>
      <c r="U43" s="43">
        <f>IF(Curva!U43="","",SUM(Curva!U$3:U43))</f>
        <v/>
      </c>
      <c r="V43" s="43">
        <f>IF(Curva!V43="","",SUM(Curva!V$3:V43))</f>
        <v/>
      </c>
      <c r="W43" s="43">
        <f>IF(Curva!W43="","",SUM(Curva!W$3:W43))</f>
        <v/>
      </c>
      <c r="X43" s="43">
        <f>IF(Curva!X43="","",SUM(Curva!X$3:X43))</f>
        <v/>
      </c>
      <c r="Y43" s="43">
        <f>IF(Curva!Y43="","",SUM(Curva!Y$3:Y43))</f>
        <v/>
      </c>
      <c r="Z43" s="43">
        <f>IF(Curva!Z43="","",SUM(Curva!Z$3:Z43))</f>
        <v/>
      </c>
      <c r="AA43" s="43">
        <f>IF(Curva!AA43="","",SUM(Curva!AA$3:AA43))</f>
        <v/>
      </c>
      <c r="AB43" s="43">
        <f>IF(Curva!AB43="","",SUM(Curva!AB$3:AB43))</f>
        <v/>
      </c>
      <c r="AC43" s="43">
        <f>IF(Curva!AC43="","",SUM(Curva!AC$3:AC43))</f>
        <v/>
      </c>
      <c r="AD43" s="43">
        <f>IF(Curva!AD43="","",SUM(Curva!AD$3:AD43))</f>
        <v/>
      </c>
      <c r="AE43" s="43">
        <f>IF(Curva!AE43="","",SUM(Curva!AE$3:AE43))</f>
        <v/>
      </c>
      <c r="AF43" s="43">
        <f>IF(Curva!AF43="","",SUM(Curva!AF$3:AF43))</f>
        <v/>
      </c>
      <c r="AG43" s="43">
        <f>IF(Curva!AG43="","",SUM(Curva!AG$3:AG43))</f>
        <v/>
      </c>
      <c r="AH43" s="43">
        <f>IF(Curva!AH43="","",SUM(Curva!AH$3:AH43))</f>
        <v/>
      </c>
      <c r="AI43" s="43">
        <f>IF(Curva!AI43="","",SUM(Curva!AI$3:AI43))</f>
        <v/>
      </c>
      <c r="AJ43" s="43">
        <f>IF(Curva!AJ43="","",SUM(Curva!AJ$3:AJ43))</f>
        <v/>
      </c>
      <c r="AK43" s="43">
        <f>IF(Curva!AK43="","",SUM(Curva!AK$3:AK43))</f>
        <v/>
      </c>
    </row>
    <row r="44" ht="15" customHeight="1" s="23">
      <c r="A44" s="25" t="n">
        <v>42</v>
      </c>
      <c r="B44" s="43">
        <f>IF(Curva!B44="","",SUM(Curva!B$3:B44))</f>
        <v/>
      </c>
      <c r="C44" s="43">
        <f>IF(Curva!C44="","",SUM(Curva!C$3:C44))</f>
        <v/>
      </c>
      <c r="D44" s="43">
        <f>IF(Curva!D44="","",SUM(Curva!D$3:D44))</f>
        <v/>
      </c>
      <c r="E44" s="43">
        <f>IF(Curva!E44="","",SUM(Curva!E$3:E44))</f>
        <v/>
      </c>
      <c r="F44" s="43">
        <f>IF(Curva!F44="","",SUM(Curva!F$3:F44))</f>
        <v/>
      </c>
      <c r="G44" s="43">
        <f>IF(Curva!G44="","",SUM(Curva!G$3:G44))</f>
        <v/>
      </c>
      <c r="H44" s="43">
        <f>IF(Curva!H44="","",SUM(Curva!H$3:H44))</f>
        <v/>
      </c>
      <c r="I44" s="43">
        <f>IF(Curva!I44="","",SUM(Curva!I$3:I44))</f>
        <v/>
      </c>
      <c r="J44" s="43">
        <f>IF(Curva!J44="","",SUM(Curva!J$3:J44))</f>
        <v/>
      </c>
      <c r="K44" s="43">
        <f>IF(Curva!K44="","",SUM(Curva!K$3:K44))</f>
        <v/>
      </c>
      <c r="L44" s="43">
        <f>IF(Curva!L44="","",SUM(Curva!L$3:L44))</f>
        <v/>
      </c>
      <c r="M44" s="43">
        <f>IF(Curva!M44="","",SUM(Curva!M$3:M44))</f>
        <v/>
      </c>
      <c r="N44" s="43">
        <f>IF(Curva!N44="","",SUM(Curva!N$3:N44))</f>
        <v/>
      </c>
      <c r="O44" s="43">
        <f>IF(Curva!O44="","",SUM(Curva!O$3:O44))</f>
        <v/>
      </c>
      <c r="P44" s="43">
        <f>IF(Curva!P44="","",SUM(Curva!P$3:P44))</f>
        <v/>
      </c>
      <c r="Q44" s="43">
        <f>IF(Curva!Q44="","",SUM(Curva!Q$3:Q44))</f>
        <v/>
      </c>
      <c r="R44" s="43">
        <f>IF(Curva!R44="","",SUM(Curva!R$3:R44))</f>
        <v/>
      </c>
      <c r="S44" s="43">
        <f>IF(Curva!S44="","",SUM(Curva!S$3:S44))</f>
        <v/>
      </c>
      <c r="T44" s="43">
        <f>IF(Curva!T44="","",SUM(Curva!T$3:T44))</f>
        <v/>
      </c>
      <c r="U44" s="43">
        <f>IF(Curva!U44="","",SUM(Curva!U$3:U44))</f>
        <v/>
      </c>
      <c r="V44" s="43">
        <f>IF(Curva!V44="","",SUM(Curva!V$3:V44))</f>
        <v/>
      </c>
      <c r="W44" s="43">
        <f>IF(Curva!W44="","",SUM(Curva!W$3:W44))</f>
        <v/>
      </c>
      <c r="X44" s="43">
        <f>IF(Curva!X44="","",SUM(Curva!X$3:X44))</f>
        <v/>
      </c>
      <c r="Y44" s="43">
        <f>IF(Curva!Y44="","",SUM(Curva!Y$3:Y44))</f>
        <v/>
      </c>
      <c r="Z44" s="43">
        <f>IF(Curva!Z44="","",SUM(Curva!Z$3:Z44))</f>
        <v/>
      </c>
      <c r="AA44" s="43">
        <f>IF(Curva!AA44="","",SUM(Curva!AA$3:AA44))</f>
        <v/>
      </c>
      <c r="AB44" s="43">
        <f>IF(Curva!AB44="","",SUM(Curva!AB$3:AB44))</f>
        <v/>
      </c>
      <c r="AC44" s="43">
        <f>IF(Curva!AC44="","",SUM(Curva!AC$3:AC44))</f>
        <v/>
      </c>
      <c r="AD44" s="43">
        <f>IF(Curva!AD44="","",SUM(Curva!AD$3:AD44))</f>
        <v/>
      </c>
      <c r="AE44" s="43">
        <f>IF(Curva!AE44="","",SUM(Curva!AE$3:AE44))</f>
        <v/>
      </c>
      <c r="AF44" s="43">
        <f>IF(Curva!AF44="","",SUM(Curva!AF$3:AF44))</f>
        <v/>
      </c>
      <c r="AG44" s="43">
        <f>IF(Curva!AG44="","",SUM(Curva!AG$3:AG44))</f>
        <v/>
      </c>
      <c r="AH44" s="43">
        <f>IF(Curva!AH44="","",SUM(Curva!AH$3:AH44))</f>
        <v/>
      </c>
      <c r="AI44" s="43">
        <f>IF(Curva!AI44="","",SUM(Curva!AI$3:AI44))</f>
        <v/>
      </c>
      <c r="AJ44" s="43">
        <f>IF(Curva!AJ44="","",SUM(Curva!AJ$3:AJ44))</f>
        <v/>
      </c>
      <c r="AK44" s="43">
        <f>IF(Curva!AK44="","",SUM(Curva!AK$3:AK44))</f>
        <v/>
      </c>
    </row>
    <row r="45" ht="15" customHeight="1" s="23">
      <c r="A45" s="25" t="n">
        <v>43</v>
      </c>
      <c r="B45" s="43">
        <f>IF(Curva!B45="","",SUM(Curva!B$3:B45))</f>
        <v/>
      </c>
      <c r="C45" s="43">
        <f>IF(Curva!C45="","",SUM(Curva!C$3:C45))</f>
        <v/>
      </c>
      <c r="D45" s="43">
        <f>IF(Curva!D45="","",SUM(Curva!D$3:D45))</f>
        <v/>
      </c>
      <c r="E45" s="43">
        <f>IF(Curva!E45="","",SUM(Curva!E$3:E45))</f>
        <v/>
      </c>
      <c r="F45" s="43">
        <f>IF(Curva!F45="","",SUM(Curva!F$3:F45))</f>
        <v/>
      </c>
      <c r="G45" s="43">
        <f>IF(Curva!G45="","",SUM(Curva!G$3:G45))</f>
        <v/>
      </c>
      <c r="H45" s="43">
        <f>IF(Curva!H45="","",SUM(Curva!H$3:H45))</f>
        <v/>
      </c>
      <c r="I45" s="43">
        <f>IF(Curva!I45="","",SUM(Curva!I$3:I45))</f>
        <v/>
      </c>
      <c r="J45" s="43">
        <f>IF(Curva!J45="","",SUM(Curva!J$3:J45))</f>
        <v/>
      </c>
      <c r="K45" s="43">
        <f>IF(Curva!K45="","",SUM(Curva!K$3:K45))</f>
        <v/>
      </c>
      <c r="L45" s="43">
        <f>IF(Curva!L45="","",SUM(Curva!L$3:L45))</f>
        <v/>
      </c>
      <c r="M45" s="43">
        <f>IF(Curva!M45="","",SUM(Curva!M$3:M45))</f>
        <v/>
      </c>
      <c r="N45" s="43">
        <f>IF(Curva!N45="","",SUM(Curva!N$3:N45))</f>
        <v/>
      </c>
      <c r="O45" s="43">
        <f>IF(Curva!O45="","",SUM(Curva!O$3:O45))</f>
        <v/>
      </c>
      <c r="P45" s="43">
        <f>IF(Curva!P45="","",SUM(Curva!P$3:P45))</f>
        <v/>
      </c>
      <c r="Q45" s="43">
        <f>IF(Curva!Q45="","",SUM(Curva!Q$3:Q45))</f>
        <v/>
      </c>
      <c r="R45" s="43">
        <f>IF(Curva!R45="","",SUM(Curva!R$3:R45))</f>
        <v/>
      </c>
      <c r="S45" s="43">
        <f>IF(Curva!S45="","",SUM(Curva!S$3:S45))</f>
        <v/>
      </c>
      <c r="T45" s="43">
        <f>IF(Curva!T45="","",SUM(Curva!T$3:T45))</f>
        <v/>
      </c>
      <c r="U45" s="43">
        <f>IF(Curva!U45="","",SUM(Curva!U$3:U45))</f>
        <v/>
      </c>
      <c r="V45" s="43">
        <f>IF(Curva!V45="","",SUM(Curva!V$3:V45))</f>
        <v/>
      </c>
      <c r="W45" s="43">
        <f>IF(Curva!W45="","",SUM(Curva!W$3:W45))</f>
        <v/>
      </c>
      <c r="X45" s="43">
        <f>IF(Curva!X45="","",SUM(Curva!X$3:X45))</f>
        <v/>
      </c>
      <c r="Y45" s="43">
        <f>IF(Curva!Y45="","",SUM(Curva!Y$3:Y45))</f>
        <v/>
      </c>
      <c r="Z45" s="43">
        <f>IF(Curva!Z45="","",SUM(Curva!Z$3:Z45))</f>
        <v/>
      </c>
      <c r="AA45" s="43">
        <f>IF(Curva!AA45="","",SUM(Curva!AA$3:AA45))</f>
        <v/>
      </c>
      <c r="AB45" s="43">
        <f>IF(Curva!AB45="","",SUM(Curva!AB$3:AB45))</f>
        <v/>
      </c>
      <c r="AC45" s="43">
        <f>IF(Curva!AC45="","",SUM(Curva!AC$3:AC45))</f>
        <v/>
      </c>
      <c r="AD45" s="43">
        <f>IF(Curva!AD45="","",SUM(Curva!AD$3:AD45))</f>
        <v/>
      </c>
      <c r="AE45" s="43">
        <f>IF(Curva!AE45="","",SUM(Curva!AE$3:AE45))</f>
        <v/>
      </c>
      <c r="AF45" s="43">
        <f>IF(Curva!AF45="","",SUM(Curva!AF$3:AF45))</f>
        <v/>
      </c>
      <c r="AG45" s="43">
        <f>IF(Curva!AG45="","",SUM(Curva!AG$3:AG45))</f>
        <v/>
      </c>
      <c r="AH45" s="43">
        <f>IF(Curva!AH45="","",SUM(Curva!AH$3:AH45))</f>
        <v/>
      </c>
      <c r="AI45" s="43">
        <f>IF(Curva!AI45="","",SUM(Curva!AI$3:AI45))</f>
        <v/>
      </c>
      <c r="AJ45" s="43">
        <f>IF(Curva!AJ45="","",SUM(Curva!AJ$3:AJ45))</f>
        <v/>
      </c>
      <c r="AK45" s="43">
        <f>IF(Curva!AK45="","",SUM(Curva!AK$3:AK45))</f>
        <v/>
      </c>
    </row>
    <row r="46" ht="15" customHeight="1" s="23">
      <c r="A46" s="25" t="n">
        <v>44</v>
      </c>
      <c r="B46" s="43">
        <f>IF(Curva!B46="","",SUM(Curva!B$3:B46))</f>
        <v/>
      </c>
      <c r="C46" s="43">
        <f>IF(Curva!C46="","",SUM(Curva!C$3:C46))</f>
        <v/>
      </c>
      <c r="D46" s="43">
        <f>IF(Curva!D46="","",SUM(Curva!D$3:D46))</f>
        <v/>
      </c>
      <c r="E46" s="43">
        <f>IF(Curva!E46="","",SUM(Curva!E$3:E46))</f>
        <v/>
      </c>
      <c r="F46" s="43">
        <f>IF(Curva!F46="","",SUM(Curva!F$3:F46))</f>
        <v/>
      </c>
      <c r="G46" s="43">
        <f>IF(Curva!G46="","",SUM(Curva!G$3:G46))</f>
        <v/>
      </c>
      <c r="H46" s="43">
        <f>IF(Curva!H46="","",SUM(Curva!H$3:H46))</f>
        <v/>
      </c>
      <c r="I46" s="43">
        <f>IF(Curva!I46="","",SUM(Curva!I$3:I46))</f>
        <v/>
      </c>
      <c r="J46" s="43">
        <f>IF(Curva!J46="","",SUM(Curva!J$3:J46))</f>
        <v/>
      </c>
      <c r="K46" s="43">
        <f>IF(Curva!K46="","",SUM(Curva!K$3:K46))</f>
        <v/>
      </c>
      <c r="L46" s="43">
        <f>IF(Curva!L46="","",SUM(Curva!L$3:L46))</f>
        <v/>
      </c>
      <c r="M46" s="43">
        <f>IF(Curva!M46="","",SUM(Curva!M$3:M46))</f>
        <v/>
      </c>
      <c r="N46" s="43">
        <f>IF(Curva!N46="","",SUM(Curva!N$3:N46))</f>
        <v/>
      </c>
      <c r="O46" s="43">
        <f>IF(Curva!O46="","",SUM(Curva!O$3:O46))</f>
        <v/>
      </c>
      <c r="P46" s="43">
        <f>IF(Curva!P46="","",SUM(Curva!P$3:P46))</f>
        <v/>
      </c>
      <c r="Q46" s="43">
        <f>IF(Curva!Q46="","",SUM(Curva!Q$3:Q46))</f>
        <v/>
      </c>
      <c r="R46" s="43">
        <f>IF(Curva!R46="","",SUM(Curva!R$3:R46))</f>
        <v/>
      </c>
      <c r="S46" s="43">
        <f>IF(Curva!S46="","",SUM(Curva!S$3:S46))</f>
        <v/>
      </c>
      <c r="T46" s="43">
        <f>IF(Curva!T46="","",SUM(Curva!T$3:T46))</f>
        <v/>
      </c>
      <c r="U46" s="43">
        <f>IF(Curva!U46="","",SUM(Curva!U$3:U46))</f>
        <v/>
      </c>
      <c r="V46" s="43">
        <f>IF(Curva!V46="","",SUM(Curva!V$3:V46))</f>
        <v/>
      </c>
      <c r="W46" s="43">
        <f>IF(Curva!W46="","",SUM(Curva!W$3:W46))</f>
        <v/>
      </c>
      <c r="X46" s="43">
        <f>IF(Curva!X46="","",SUM(Curva!X$3:X46))</f>
        <v/>
      </c>
      <c r="Y46" s="43">
        <f>IF(Curva!Y46="","",SUM(Curva!Y$3:Y46))</f>
        <v/>
      </c>
      <c r="Z46" s="43">
        <f>IF(Curva!Z46="","",SUM(Curva!Z$3:Z46))</f>
        <v/>
      </c>
      <c r="AA46" s="43">
        <f>IF(Curva!AA46="","",SUM(Curva!AA$3:AA46))</f>
        <v/>
      </c>
      <c r="AB46" s="43">
        <f>IF(Curva!AB46="","",SUM(Curva!AB$3:AB46))</f>
        <v/>
      </c>
      <c r="AC46" s="43">
        <f>IF(Curva!AC46="","",SUM(Curva!AC$3:AC46))</f>
        <v/>
      </c>
      <c r="AD46" s="43">
        <f>IF(Curva!AD46="","",SUM(Curva!AD$3:AD46))</f>
        <v/>
      </c>
      <c r="AE46" s="43">
        <f>IF(Curva!AE46="","",SUM(Curva!AE$3:AE46))</f>
        <v/>
      </c>
      <c r="AF46" s="43">
        <f>IF(Curva!AF46="","",SUM(Curva!AF$3:AF46))</f>
        <v/>
      </c>
      <c r="AG46" s="43">
        <f>IF(Curva!AG46="","",SUM(Curva!AG$3:AG46))</f>
        <v/>
      </c>
      <c r="AH46" s="43">
        <f>IF(Curva!AH46="","",SUM(Curva!AH$3:AH46))</f>
        <v/>
      </c>
      <c r="AI46" s="43">
        <f>IF(Curva!AI46="","",SUM(Curva!AI$3:AI46))</f>
        <v/>
      </c>
      <c r="AJ46" s="43">
        <f>IF(Curva!AJ46="","",SUM(Curva!AJ$3:AJ46))</f>
        <v/>
      </c>
      <c r="AK46" s="43">
        <f>IF(Curva!AK46="","",SUM(Curva!AK$3:AK46))</f>
        <v/>
      </c>
    </row>
    <row r="47" ht="15" customHeight="1" s="23">
      <c r="A47" s="25" t="n">
        <v>45</v>
      </c>
      <c r="B47" s="43">
        <f>IF(Curva!B47="","",SUM(Curva!B$3:B47))</f>
        <v/>
      </c>
      <c r="C47" s="43">
        <f>IF(Curva!C47="","",SUM(Curva!C$3:C47))</f>
        <v/>
      </c>
      <c r="D47" s="43">
        <f>IF(Curva!D47="","",SUM(Curva!D$3:D47))</f>
        <v/>
      </c>
      <c r="E47" s="43">
        <f>IF(Curva!E47="","",SUM(Curva!E$3:E47))</f>
        <v/>
      </c>
      <c r="F47" s="43">
        <f>IF(Curva!F47="","",SUM(Curva!F$3:F47))</f>
        <v/>
      </c>
      <c r="G47" s="43">
        <f>IF(Curva!G47="","",SUM(Curva!G$3:G47))</f>
        <v/>
      </c>
      <c r="H47" s="43">
        <f>IF(Curva!H47="","",SUM(Curva!H$3:H47))</f>
        <v/>
      </c>
      <c r="I47" s="43">
        <f>IF(Curva!I47="","",SUM(Curva!I$3:I47))</f>
        <v/>
      </c>
      <c r="J47" s="43">
        <f>IF(Curva!J47="","",SUM(Curva!J$3:J47))</f>
        <v/>
      </c>
      <c r="K47" s="43">
        <f>IF(Curva!K47="","",SUM(Curva!K$3:K47))</f>
        <v/>
      </c>
      <c r="L47" s="43">
        <f>IF(Curva!L47="","",SUM(Curva!L$3:L47))</f>
        <v/>
      </c>
      <c r="M47" s="43">
        <f>IF(Curva!M47="","",SUM(Curva!M$3:M47))</f>
        <v/>
      </c>
      <c r="N47" s="43">
        <f>IF(Curva!N47="","",SUM(Curva!N$3:N47))</f>
        <v/>
      </c>
      <c r="O47" s="43">
        <f>IF(Curva!O47="","",SUM(Curva!O$3:O47))</f>
        <v/>
      </c>
      <c r="P47" s="43">
        <f>IF(Curva!P47="","",SUM(Curva!P$3:P47))</f>
        <v/>
      </c>
      <c r="Q47" s="43">
        <f>IF(Curva!Q47="","",SUM(Curva!Q$3:Q47))</f>
        <v/>
      </c>
      <c r="R47" s="43">
        <f>IF(Curva!R47="","",SUM(Curva!R$3:R47))</f>
        <v/>
      </c>
      <c r="S47" s="43">
        <f>IF(Curva!S47="","",SUM(Curva!S$3:S47))</f>
        <v/>
      </c>
      <c r="T47" s="43">
        <f>IF(Curva!T47="","",SUM(Curva!T$3:T47))</f>
        <v/>
      </c>
      <c r="U47" s="43">
        <f>IF(Curva!U47="","",SUM(Curva!U$3:U47))</f>
        <v/>
      </c>
      <c r="V47" s="43">
        <f>IF(Curva!V47="","",SUM(Curva!V$3:V47))</f>
        <v/>
      </c>
      <c r="W47" s="43">
        <f>IF(Curva!W47="","",SUM(Curva!W$3:W47))</f>
        <v/>
      </c>
      <c r="X47" s="43">
        <f>IF(Curva!X47="","",SUM(Curva!X$3:X47))</f>
        <v/>
      </c>
      <c r="Y47" s="43">
        <f>IF(Curva!Y47="","",SUM(Curva!Y$3:Y47))</f>
        <v/>
      </c>
      <c r="Z47" s="43">
        <f>IF(Curva!Z47="","",SUM(Curva!Z$3:Z47))</f>
        <v/>
      </c>
      <c r="AA47" s="43">
        <f>IF(Curva!AA47="","",SUM(Curva!AA$3:AA47))</f>
        <v/>
      </c>
      <c r="AB47" s="43">
        <f>IF(Curva!AB47="","",SUM(Curva!AB$3:AB47))</f>
        <v/>
      </c>
      <c r="AC47" s="43">
        <f>IF(Curva!AC47="","",SUM(Curva!AC$3:AC47))</f>
        <v/>
      </c>
      <c r="AD47" s="43">
        <f>IF(Curva!AD47="","",SUM(Curva!AD$3:AD47))</f>
        <v/>
      </c>
      <c r="AE47" s="43">
        <f>IF(Curva!AE47="","",SUM(Curva!AE$3:AE47))</f>
        <v/>
      </c>
      <c r="AF47" s="43">
        <f>IF(Curva!AF47="","",SUM(Curva!AF$3:AF47))</f>
        <v/>
      </c>
      <c r="AG47" s="43">
        <f>IF(Curva!AG47="","",SUM(Curva!AG$3:AG47))</f>
        <v/>
      </c>
      <c r="AH47" s="43">
        <f>IF(Curva!AH47="","",SUM(Curva!AH$3:AH47))</f>
        <v/>
      </c>
      <c r="AI47" s="43">
        <f>IF(Curva!AI47="","",SUM(Curva!AI$3:AI47))</f>
        <v/>
      </c>
      <c r="AJ47" s="43">
        <f>IF(Curva!AJ47="","",SUM(Curva!AJ$3:AJ47))</f>
        <v/>
      </c>
      <c r="AK47" s="43">
        <f>IF(Curva!AK47="","",SUM(Curva!AK$3:AK47))</f>
        <v/>
      </c>
    </row>
    <row r="48" ht="15" customHeight="1" s="23">
      <c r="A48" s="25" t="n">
        <v>46</v>
      </c>
      <c r="B48" s="43">
        <f>IF(Curva!B48="","",SUM(Curva!B$3:B48))</f>
        <v/>
      </c>
      <c r="C48" s="43">
        <f>IF(Curva!C48="","",SUM(Curva!C$3:C48))</f>
        <v/>
      </c>
      <c r="D48" s="43">
        <f>IF(Curva!D48="","",SUM(Curva!D$3:D48))</f>
        <v/>
      </c>
      <c r="E48" s="43">
        <f>IF(Curva!E48="","",SUM(Curva!E$3:E48))</f>
        <v/>
      </c>
      <c r="F48" s="43">
        <f>IF(Curva!F48="","",SUM(Curva!F$3:F48))</f>
        <v/>
      </c>
      <c r="G48" s="43">
        <f>IF(Curva!G48="","",SUM(Curva!G$3:G48))</f>
        <v/>
      </c>
      <c r="H48" s="43">
        <f>IF(Curva!H48="","",SUM(Curva!H$3:H48))</f>
        <v/>
      </c>
      <c r="I48" s="43">
        <f>IF(Curva!I48="","",SUM(Curva!I$3:I48))</f>
        <v/>
      </c>
      <c r="J48" s="43">
        <f>IF(Curva!J48="","",SUM(Curva!J$3:J48))</f>
        <v/>
      </c>
      <c r="K48" s="43">
        <f>IF(Curva!K48="","",SUM(Curva!K$3:K48))</f>
        <v/>
      </c>
      <c r="L48" s="43">
        <f>IF(Curva!L48="","",SUM(Curva!L$3:L48))</f>
        <v/>
      </c>
      <c r="M48" s="43">
        <f>IF(Curva!M48="","",SUM(Curva!M$3:M48))</f>
        <v/>
      </c>
      <c r="N48" s="43">
        <f>IF(Curva!N48="","",SUM(Curva!N$3:N48))</f>
        <v/>
      </c>
      <c r="O48" s="43">
        <f>IF(Curva!O48="","",SUM(Curva!O$3:O48))</f>
        <v/>
      </c>
      <c r="P48" s="43">
        <f>IF(Curva!P48="","",SUM(Curva!P$3:P48))</f>
        <v/>
      </c>
      <c r="Q48" s="43">
        <f>IF(Curva!Q48="","",SUM(Curva!Q$3:Q48))</f>
        <v/>
      </c>
      <c r="R48" s="43">
        <f>IF(Curva!R48="","",SUM(Curva!R$3:R48))</f>
        <v/>
      </c>
      <c r="S48" s="43">
        <f>IF(Curva!S48="","",SUM(Curva!S$3:S48))</f>
        <v/>
      </c>
      <c r="T48" s="43">
        <f>IF(Curva!T48="","",SUM(Curva!T$3:T48))</f>
        <v/>
      </c>
      <c r="U48" s="43">
        <f>IF(Curva!U48="","",SUM(Curva!U$3:U48))</f>
        <v/>
      </c>
      <c r="V48" s="43">
        <f>IF(Curva!V48="","",SUM(Curva!V$3:V48))</f>
        <v/>
      </c>
      <c r="W48" s="43">
        <f>IF(Curva!W48="","",SUM(Curva!W$3:W48))</f>
        <v/>
      </c>
      <c r="X48" s="43">
        <f>IF(Curva!X48="","",SUM(Curva!X$3:X48))</f>
        <v/>
      </c>
      <c r="Y48" s="43">
        <f>IF(Curva!Y48="","",SUM(Curva!Y$3:Y48))</f>
        <v/>
      </c>
      <c r="Z48" s="43">
        <f>IF(Curva!Z48="","",SUM(Curva!Z$3:Z48))</f>
        <v/>
      </c>
      <c r="AA48" s="43">
        <f>IF(Curva!AA48="","",SUM(Curva!AA$3:AA48))</f>
        <v/>
      </c>
      <c r="AB48" s="43">
        <f>IF(Curva!AB48="","",SUM(Curva!AB$3:AB48))</f>
        <v/>
      </c>
      <c r="AC48" s="43">
        <f>IF(Curva!AC48="","",SUM(Curva!AC$3:AC48))</f>
        <v/>
      </c>
      <c r="AD48" s="43">
        <f>IF(Curva!AD48="","",SUM(Curva!AD$3:AD48))</f>
        <v/>
      </c>
      <c r="AE48" s="43">
        <f>IF(Curva!AE48="","",SUM(Curva!AE$3:AE48))</f>
        <v/>
      </c>
      <c r="AF48" s="43">
        <f>IF(Curva!AF48="","",SUM(Curva!AF$3:AF48))</f>
        <v/>
      </c>
      <c r="AG48" s="43">
        <f>IF(Curva!AG48="","",SUM(Curva!AG$3:AG48))</f>
        <v/>
      </c>
      <c r="AH48" s="43">
        <f>IF(Curva!AH48="","",SUM(Curva!AH$3:AH48))</f>
        <v/>
      </c>
      <c r="AI48" s="43">
        <f>IF(Curva!AI48="","",SUM(Curva!AI$3:AI48))</f>
        <v/>
      </c>
      <c r="AJ48" s="43">
        <f>IF(Curva!AJ48="","",SUM(Curva!AJ$3:AJ48))</f>
        <v/>
      </c>
      <c r="AK48" s="43">
        <f>IF(Curva!AK48="","",SUM(Curva!AK$3:AK48))</f>
        <v/>
      </c>
    </row>
    <row r="49" ht="15" customHeight="1" s="23">
      <c r="A49" s="25" t="n">
        <v>47</v>
      </c>
      <c r="B49" s="43">
        <f>IF(Curva!B49="","",SUM(Curva!B$3:B49))</f>
        <v/>
      </c>
      <c r="C49" s="43">
        <f>IF(Curva!C49="","",SUM(Curva!C$3:C49))</f>
        <v/>
      </c>
      <c r="D49" s="43">
        <f>IF(Curva!D49="","",SUM(Curva!D$3:D49))</f>
        <v/>
      </c>
      <c r="E49" s="43">
        <f>IF(Curva!E49="","",SUM(Curva!E$3:E49))</f>
        <v/>
      </c>
      <c r="F49" s="43">
        <f>IF(Curva!F49="","",SUM(Curva!F$3:F49))</f>
        <v/>
      </c>
      <c r="G49" s="43">
        <f>IF(Curva!G49="","",SUM(Curva!G$3:G49))</f>
        <v/>
      </c>
      <c r="H49" s="43">
        <f>IF(Curva!H49="","",SUM(Curva!H$3:H49))</f>
        <v/>
      </c>
      <c r="I49" s="43">
        <f>IF(Curva!I49="","",SUM(Curva!I$3:I49))</f>
        <v/>
      </c>
      <c r="J49" s="43">
        <f>IF(Curva!J49="","",SUM(Curva!J$3:J49))</f>
        <v/>
      </c>
      <c r="K49" s="43">
        <f>IF(Curva!K49="","",SUM(Curva!K$3:K49))</f>
        <v/>
      </c>
      <c r="L49" s="43">
        <f>IF(Curva!L49="","",SUM(Curva!L$3:L49))</f>
        <v/>
      </c>
      <c r="M49" s="43">
        <f>IF(Curva!M49="","",SUM(Curva!M$3:M49))</f>
        <v/>
      </c>
      <c r="N49" s="43">
        <f>IF(Curva!N49="","",SUM(Curva!N$3:N49))</f>
        <v/>
      </c>
      <c r="O49" s="43">
        <f>IF(Curva!O49="","",SUM(Curva!O$3:O49))</f>
        <v/>
      </c>
      <c r="P49" s="43">
        <f>IF(Curva!P49="","",SUM(Curva!P$3:P49))</f>
        <v/>
      </c>
      <c r="Q49" s="43">
        <f>IF(Curva!Q49="","",SUM(Curva!Q$3:Q49))</f>
        <v/>
      </c>
      <c r="R49" s="43">
        <f>IF(Curva!R49="","",SUM(Curva!R$3:R49))</f>
        <v/>
      </c>
      <c r="S49" s="43">
        <f>IF(Curva!S49="","",SUM(Curva!S$3:S49))</f>
        <v/>
      </c>
      <c r="T49" s="43">
        <f>IF(Curva!T49="","",SUM(Curva!T$3:T49))</f>
        <v/>
      </c>
      <c r="U49" s="43">
        <f>IF(Curva!U49="","",SUM(Curva!U$3:U49))</f>
        <v/>
      </c>
      <c r="V49" s="43">
        <f>IF(Curva!V49="","",SUM(Curva!V$3:V49))</f>
        <v/>
      </c>
      <c r="W49" s="43">
        <f>IF(Curva!W49="","",SUM(Curva!W$3:W49))</f>
        <v/>
      </c>
      <c r="X49" s="43">
        <f>IF(Curva!X49="","",SUM(Curva!X$3:X49))</f>
        <v/>
      </c>
      <c r="Y49" s="43">
        <f>IF(Curva!Y49="","",SUM(Curva!Y$3:Y49))</f>
        <v/>
      </c>
      <c r="Z49" s="43">
        <f>IF(Curva!Z49="","",SUM(Curva!Z$3:Z49))</f>
        <v/>
      </c>
      <c r="AA49" s="43">
        <f>IF(Curva!AA49="","",SUM(Curva!AA$3:AA49))</f>
        <v/>
      </c>
      <c r="AB49" s="43">
        <f>IF(Curva!AB49="","",SUM(Curva!AB$3:AB49))</f>
        <v/>
      </c>
      <c r="AC49" s="43">
        <f>IF(Curva!AC49="","",SUM(Curva!AC$3:AC49))</f>
        <v/>
      </c>
      <c r="AD49" s="43">
        <f>IF(Curva!AD49="","",SUM(Curva!AD$3:AD49))</f>
        <v/>
      </c>
      <c r="AE49" s="43">
        <f>IF(Curva!AE49="","",SUM(Curva!AE$3:AE49))</f>
        <v/>
      </c>
      <c r="AF49" s="43">
        <f>IF(Curva!AF49="","",SUM(Curva!AF$3:AF49))</f>
        <v/>
      </c>
      <c r="AG49" s="43">
        <f>IF(Curva!AG49="","",SUM(Curva!AG$3:AG49))</f>
        <v/>
      </c>
      <c r="AH49" s="43">
        <f>IF(Curva!AH49="","",SUM(Curva!AH$3:AH49))</f>
        <v/>
      </c>
      <c r="AI49" s="43">
        <f>IF(Curva!AI49="","",SUM(Curva!AI$3:AI49))</f>
        <v/>
      </c>
      <c r="AJ49" s="43">
        <f>IF(Curva!AJ49="","",SUM(Curva!AJ$3:AJ49))</f>
        <v/>
      </c>
      <c r="AK49" s="43">
        <f>IF(Curva!AK49="","",SUM(Curva!AK$3:AK49))</f>
        <v/>
      </c>
    </row>
    <row r="50" ht="15" customHeight="1" s="23">
      <c r="A50" s="25" t="n">
        <v>48</v>
      </c>
      <c r="B50" s="43">
        <f>IF(Curva!B50="","",SUM(Curva!B$3:B50))</f>
        <v/>
      </c>
      <c r="C50" s="43">
        <f>IF(Curva!C50="","",SUM(Curva!C$3:C50))</f>
        <v/>
      </c>
      <c r="D50" s="43">
        <f>IF(Curva!D50="","",SUM(Curva!D$3:D50))</f>
        <v/>
      </c>
      <c r="E50" s="43">
        <f>IF(Curva!E50="","",SUM(Curva!E$3:E50))</f>
        <v/>
      </c>
      <c r="F50" s="43">
        <f>IF(Curva!F50="","",SUM(Curva!F$3:F50))</f>
        <v/>
      </c>
      <c r="G50" s="43">
        <f>IF(Curva!G50="","",SUM(Curva!G$3:G50))</f>
        <v/>
      </c>
      <c r="H50" s="43">
        <f>IF(Curva!H50="","",SUM(Curva!H$3:H50))</f>
        <v/>
      </c>
      <c r="I50" s="43">
        <f>IF(Curva!I50="","",SUM(Curva!I$3:I50))</f>
        <v/>
      </c>
      <c r="J50" s="43">
        <f>IF(Curva!J50="","",SUM(Curva!J$3:J50))</f>
        <v/>
      </c>
      <c r="K50" s="43">
        <f>IF(Curva!K50="","",SUM(Curva!K$3:K50))</f>
        <v/>
      </c>
      <c r="L50" s="43">
        <f>IF(Curva!L50="","",SUM(Curva!L$3:L50))</f>
        <v/>
      </c>
      <c r="M50" s="43">
        <f>IF(Curva!M50="","",SUM(Curva!M$3:M50))</f>
        <v/>
      </c>
      <c r="N50" s="43">
        <f>IF(Curva!N50="","",SUM(Curva!N$3:N50))</f>
        <v/>
      </c>
      <c r="O50" s="43">
        <f>IF(Curva!O50="","",SUM(Curva!O$3:O50))</f>
        <v/>
      </c>
      <c r="P50" s="43">
        <f>IF(Curva!P50="","",SUM(Curva!P$3:P50))</f>
        <v/>
      </c>
      <c r="Q50" s="43">
        <f>IF(Curva!Q50="","",SUM(Curva!Q$3:Q50))</f>
        <v/>
      </c>
      <c r="R50" s="43">
        <f>IF(Curva!R50="","",SUM(Curva!R$3:R50))</f>
        <v/>
      </c>
      <c r="S50" s="43">
        <f>IF(Curva!S50="","",SUM(Curva!S$3:S50))</f>
        <v/>
      </c>
      <c r="T50" s="43">
        <f>IF(Curva!T50="","",SUM(Curva!T$3:T50))</f>
        <v/>
      </c>
      <c r="U50" s="43">
        <f>IF(Curva!U50="","",SUM(Curva!U$3:U50))</f>
        <v/>
      </c>
      <c r="V50" s="43">
        <f>IF(Curva!V50="","",SUM(Curva!V$3:V50))</f>
        <v/>
      </c>
      <c r="W50" s="43">
        <f>IF(Curva!W50="","",SUM(Curva!W$3:W50))</f>
        <v/>
      </c>
      <c r="X50" s="43">
        <f>IF(Curva!X50="","",SUM(Curva!X$3:X50))</f>
        <v/>
      </c>
      <c r="Y50" s="43">
        <f>IF(Curva!Y50="","",SUM(Curva!Y$3:Y50))</f>
        <v/>
      </c>
      <c r="Z50" s="43">
        <f>IF(Curva!Z50="","",SUM(Curva!Z$3:Z50))</f>
        <v/>
      </c>
      <c r="AA50" s="43">
        <f>IF(Curva!AA50="","",SUM(Curva!AA$3:AA50))</f>
        <v/>
      </c>
      <c r="AB50" s="43">
        <f>IF(Curva!AB50="","",SUM(Curva!AB$3:AB50))</f>
        <v/>
      </c>
      <c r="AC50" s="43">
        <f>IF(Curva!AC50="","",SUM(Curva!AC$3:AC50))</f>
        <v/>
      </c>
      <c r="AD50" s="43">
        <f>IF(Curva!AD50="","",SUM(Curva!AD$3:AD50))</f>
        <v/>
      </c>
      <c r="AE50" s="43">
        <f>IF(Curva!AE50="","",SUM(Curva!AE$3:AE50))</f>
        <v/>
      </c>
      <c r="AF50" s="43">
        <f>IF(Curva!AF50="","",SUM(Curva!AF$3:AF50))</f>
        <v/>
      </c>
      <c r="AG50" s="43">
        <f>IF(Curva!AG50="","",SUM(Curva!AG$3:AG50))</f>
        <v/>
      </c>
      <c r="AH50" s="43">
        <f>IF(Curva!AH50="","",SUM(Curva!AH$3:AH50))</f>
        <v/>
      </c>
      <c r="AI50" s="43">
        <f>IF(Curva!AI50="","",SUM(Curva!AI$3:AI50))</f>
        <v/>
      </c>
      <c r="AJ50" s="43">
        <f>IF(Curva!AJ50="","",SUM(Curva!AJ$3:AJ50))</f>
        <v/>
      </c>
      <c r="AK50" s="43">
        <f>IF(Curva!AK50="","",SUM(Curva!AK$3:AK50))</f>
        <v/>
      </c>
    </row>
    <row r="51" ht="15" customHeight="1" s="23">
      <c r="A51" s="25" t="n">
        <v>49</v>
      </c>
      <c r="B51" s="43">
        <f>IF(Curva!B51="","",SUM(Curva!B$3:B51))</f>
        <v/>
      </c>
      <c r="C51" s="43">
        <f>IF(Curva!C51="","",SUM(Curva!C$3:C51))</f>
        <v/>
      </c>
      <c r="D51" s="43">
        <f>IF(Curva!D51="","",SUM(Curva!D$3:D51))</f>
        <v/>
      </c>
      <c r="E51" s="43">
        <f>IF(Curva!E51="","",SUM(Curva!E$3:E51))</f>
        <v/>
      </c>
      <c r="F51" s="43">
        <f>IF(Curva!F51="","",SUM(Curva!F$3:F51))</f>
        <v/>
      </c>
      <c r="G51" s="43">
        <f>IF(Curva!G51="","",SUM(Curva!G$3:G51))</f>
        <v/>
      </c>
      <c r="H51" s="43">
        <f>IF(Curva!H51="","",SUM(Curva!H$3:H51))</f>
        <v/>
      </c>
      <c r="I51" s="43">
        <f>IF(Curva!I51="","",SUM(Curva!I$3:I51))</f>
        <v/>
      </c>
      <c r="J51" s="43">
        <f>IF(Curva!J51="","",SUM(Curva!J$3:J51))</f>
        <v/>
      </c>
      <c r="K51" s="43">
        <f>IF(Curva!K51="","",SUM(Curva!K$3:K51))</f>
        <v/>
      </c>
      <c r="L51" s="43">
        <f>IF(Curva!L51="","",SUM(Curva!L$3:L51))</f>
        <v/>
      </c>
      <c r="M51" s="43">
        <f>IF(Curva!M51="","",SUM(Curva!M$3:M51))</f>
        <v/>
      </c>
      <c r="N51" s="43">
        <f>IF(Curva!N51="","",SUM(Curva!N$3:N51))</f>
        <v/>
      </c>
      <c r="O51" s="43">
        <f>IF(Curva!O51="","",SUM(Curva!O$3:O51))</f>
        <v/>
      </c>
      <c r="P51" s="43">
        <f>IF(Curva!P51="","",SUM(Curva!P$3:P51))</f>
        <v/>
      </c>
      <c r="Q51" s="43">
        <f>IF(Curva!Q51="","",SUM(Curva!Q$3:Q51))</f>
        <v/>
      </c>
      <c r="R51" s="43">
        <f>IF(Curva!R51="","",SUM(Curva!R$3:R51))</f>
        <v/>
      </c>
      <c r="S51" s="43">
        <f>IF(Curva!S51="","",SUM(Curva!S$3:S51))</f>
        <v/>
      </c>
      <c r="T51" s="43">
        <f>IF(Curva!T51="","",SUM(Curva!T$3:T51))</f>
        <v/>
      </c>
      <c r="U51" s="43">
        <f>IF(Curva!U51="","",SUM(Curva!U$3:U51))</f>
        <v/>
      </c>
      <c r="V51" s="43">
        <f>IF(Curva!V51="","",SUM(Curva!V$3:V51))</f>
        <v/>
      </c>
      <c r="W51" s="43">
        <f>IF(Curva!W51="","",SUM(Curva!W$3:W51))</f>
        <v/>
      </c>
      <c r="X51" s="43">
        <f>IF(Curva!X51="","",SUM(Curva!X$3:X51))</f>
        <v/>
      </c>
      <c r="Y51" s="43">
        <f>IF(Curva!Y51="","",SUM(Curva!Y$3:Y51))</f>
        <v/>
      </c>
      <c r="Z51" s="43">
        <f>IF(Curva!Z51="","",SUM(Curva!Z$3:Z51))</f>
        <v/>
      </c>
      <c r="AA51" s="43">
        <f>IF(Curva!AA51="","",SUM(Curva!AA$3:AA51))</f>
        <v/>
      </c>
      <c r="AB51" s="43">
        <f>IF(Curva!AB51="","",SUM(Curva!AB$3:AB51))</f>
        <v/>
      </c>
      <c r="AC51" s="43">
        <f>IF(Curva!AC51="","",SUM(Curva!AC$3:AC51))</f>
        <v/>
      </c>
      <c r="AD51" s="43">
        <f>IF(Curva!AD51="","",SUM(Curva!AD$3:AD51))</f>
        <v/>
      </c>
      <c r="AE51" s="43">
        <f>IF(Curva!AE51="","",SUM(Curva!AE$3:AE51))</f>
        <v/>
      </c>
      <c r="AF51" s="43">
        <f>IF(Curva!AF51="","",SUM(Curva!AF$3:AF51))</f>
        <v/>
      </c>
      <c r="AG51" s="43">
        <f>IF(Curva!AG51="","",SUM(Curva!AG$3:AG51))</f>
        <v/>
      </c>
      <c r="AH51" s="43">
        <f>IF(Curva!AH51="","",SUM(Curva!AH$3:AH51))</f>
        <v/>
      </c>
      <c r="AI51" s="43">
        <f>IF(Curva!AI51="","",SUM(Curva!AI$3:AI51))</f>
        <v/>
      </c>
      <c r="AJ51" s="43">
        <f>IF(Curva!AJ51="","",SUM(Curva!AJ$3:AJ51))</f>
        <v/>
      </c>
      <c r="AK51" s="43">
        <f>IF(Curva!AK51="","",SUM(Curva!AK$3:AK51))</f>
        <v/>
      </c>
    </row>
    <row r="52" ht="15" customHeight="1" s="23">
      <c r="A52" s="25" t="n">
        <v>50</v>
      </c>
      <c r="B52" s="43">
        <f>IF(Curva!B52="","",SUM(Curva!B$3:B52))</f>
        <v/>
      </c>
      <c r="C52" s="43">
        <f>IF(Curva!C52="","",SUM(Curva!C$3:C52))</f>
        <v/>
      </c>
      <c r="D52" s="43">
        <f>IF(Curva!D52="","",SUM(Curva!D$3:D52))</f>
        <v/>
      </c>
      <c r="E52" s="43">
        <f>IF(Curva!E52="","",SUM(Curva!E$3:E52))</f>
        <v/>
      </c>
      <c r="F52" s="43">
        <f>IF(Curva!F52="","",SUM(Curva!F$3:F52))</f>
        <v/>
      </c>
      <c r="G52" s="43">
        <f>IF(Curva!G52="","",SUM(Curva!G$3:G52))</f>
        <v/>
      </c>
      <c r="H52" s="43">
        <f>IF(Curva!H52="","",SUM(Curva!H$3:H52))</f>
        <v/>
      </c>
      <c r="I52" s="43">
        <f>IF(Curva!I52="","",SUM(Curva!I$3:I52))</f>
        <v/>
      </c>
      <c r="J52" s="43">
        <f>IF(Curva!J52="","",SUM(Curva!J$3:J52))</f>
        <v/>
      </c>
      <c r="K52" s="43">
        <f>IF(Curva!K52="","",SUM(Curva!K$3:K52))</f>
        <v/>
      </c>
      <c r="L52" s="43">
        <f>IF(Curva!L52="","",SUM(Curva!L$3:L52))</f>
        <v/>
      </c>
      <c r="M52" s="43">
        <f>IF(Curva!M52="","",SUM(Curva!M$3:M52))</f>
        <v/>
      </c>
      <c r="N52" s="43">
        <f>IF(Curva!N52="","",SUM(Curva!N$3:N52))</f>
        <v/>
      </c>
      <c r="O52" s="43">
        <f>IF(Curva!O52="","",SUM(Curva!O$3:O52))</f>
        <v/>
      </c>
      <c r="P52" s="43">
        <f>IF(Curva!P52="","",SUM(Curva!P$3:P52))</f>
        <v/>
      </c>
      <c r="Q52" s="43">
        <f>IF(Curva!Q52="","",SUM(Curva!Q$3:Q52))</f>
        <v/>
      </c>
      <c r="R52" s="43">
        <f>IF(Curva!R52="","",SUM(Curva!R$3:R52))</f>
        <v/>
      </c>
      <c r="S52" s="43">
        <f>IF(Curva!S52="","",SUM(Curva!S$3:S52))</f>
        <v/>
      </c>
      <c r="T52" s="43">
        <f>IF(Curva!T52="","",SUM(Curva!T$3:T52))</f>
        <v/>
      </c>
      <c r="U52" s="43">
        <f>IF(Curva!U52="","",SUM(Curva!U$3:U52))</f>
        <v/>
      </c>
      <c r="V52" s="43">
        <f>IF(Curva!V52="","",SUM(Curva!V$3:V52))</f>
        <v/>
      </c>
      <c r="W52" s="43">
        <f>IF(Curva!W52="","",SUM(Curva!W$3:W52))</f>
        <v/>
      </c>
      <c r="X52" s="43">
        <f>IF(Curva!X52="","",SUM(Curva!X$3:X52))</f>
        <v/>
      </c>
      <c r="Y52" s="43">
        <f>IF(Curva!Y52="","",SUM(Curva!Y$3:Y52))</f>
        <v/>
      </c>
      <c r="Z52" s="43">
        <f>IF(Curva!Z52="","",SUM(Curva!Z$3:Z52))</f>
        <v/>
      </c>
      <c r="AA52" s="43">
        <f>IF(Curva!AA52="","",SUM(Curva!AA$3:AA52))</f>
        <v/>
      </c>
      <c r="AB52" s="43">
        <f>IF(Curva!AB52="","",SUM(Curva!AB$3:AB52))</f>
        <v/>
      </c>
      <c r="AC52" s="43">
        <f>IF(Curva!AC52="","",SUM(Curva!AC$3:AC52))</f>
        <v/>
      </c>
      <c r="AD52" s="43">
        <f>IF(Curva!AD52="","",SUM(Curva!AD$3:AD52))</f>
        <v/>
      </c>
      <c r="AE52" s="43">
        <f>IF(Curva!AE52="","",SUM(Curva!AE$3:AE52))</f>
        <v/>
      </c>
      <c r="AF52" s="43">
        <f>IF(Curva!AF52="","",SUM(Curva!AF$3:AF52))</f>
        <v/>
      </c>
      <c r="AG52" s="43">
        <f>IF(Curva!AG52="","",SUM(Curva!AG$3:AG52))</f>
        <v/>
      </c>
      <c r="AH52" s="43">
        <f>IF(Curva!AH52="","",SUM(Curva!AH$3:AH52))</f>
        <v/>
      </c>
      <c r="AI52" s="43">
        <f>IF(Curva!AI52="","",SUM(Curva!AI$3:AI52))</f>
        <v/>
      </c>
      <c r="AJ52" s="43">
        <f>IF(Curva!AJ52="","",SUM(Curva!AJ$3:AJ52))</f>
        <v/>
      </c>
      <c r="AK52" s="43">
        <f>IF(Curva!AK52="","",SUM(Curva!AK$3:AK52))</f>
        <v/>
      </c>
    </row>
  </sheetData>
  <printOptions horizontalCentered="0" verticalCentered="0" headings="0" gridLines="0" gridLinesSet="1"/>
  <pageMargins left="0.75" right="0.75" top="1" bottom="1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875" defaultRowHeight="15" zeroHeight="0" outlineLevelRow="0"/>
  <cols>
    <col width="16" customWidth="1" style="22" min="1" max="1"/>
    <col width="10" customWidth="1" style="22" min="2" max="2"/>
    <col width="11.99" customWidth="1" style="22" min="3" max="3"/>
    <col width="16" customWidth="1" style="22" min="4" max="4"/>
    <col width="10" customWidth="1" style="22" min="5" max="5"/>
    <col width="11.99" customWidth="1" style="22" min="6" max="6"/>
    <col width="22.01" customWidth="1" style="22" min="7" max="7"/>
    <col width="24" customWidth="1" style="22" min="8" max="8"/>
  </cols>
  <sheetData>
    <row r="1" ht="15" customHeight="1" s="23">
      <c r="A1" s="30" t="inlineStr">
        <is>
          <t>Aba da tela</t>
        </is>
      </c>
      <c r="B1" s="30" t="inlineStr">
        <is>
          <t>Câmaras</t>
        </is>
      </c>
      <c r="C1" s="30" t="inlineStr">
        <is>
          <t>Câmaras novas</t>
        </is>
      </c>
      <c r="D1" s="30" t="inlineStr">
        <is>
          <t>Custo das câmaras (N)</t>
        </is>
      </c>
      <c r="E1" s="30" t="inlineStr">
        <is>
          <t>Galerias</t>
        </is>
      </c>
      <c r="F1" s="30" t="inlineStr">
        <is>
          <t>Galerias infinitas</t>
        </is>
      </c>
      <c r="G1" s="30" t="inlineStr">
        <is>
          <t>Custo das galerias com teto até o teto (N)</t>
        </is>
      </c>
      <c r="H1" s="30" t="inlineStr">
        <is>
          <t>Custo das infinitas até o nível de referência (N)</t>
        </is>
      </c>
    </row>
    <row r="2" ht="15" customHeight="1" s="23">
      <c r="A2" s="25" t="inlineStr">
        <is>
          <t>Formigueiro</t>
        </is>
      </c>
      <c r="B2" s="28">
        <f>COUNTIF(Camaras!$B$2:$B$65,A2)</f>
        <v/>
      </c>
      <c r="C2" s="28">
        <f>COUNTIFS(Camaras!$B$2:$B$65,A2,Camaras!$K$2:$K$65,"Novo")</f>
        <v/>
      </c>
      <c r="D2" s="43">
        <f>SUMIF(Camaras!$B$2:$B$65,A2,Camaras!$I$2:$I$65)</f>
        <v/>
      </c>
      <c r="E2" s="28">
        <f>COUNTIF(Galerias!$B$2:$B$37,A2)</f>
        <v/>
      </c>
      <c r="F2" s="28">
        <f>COUNTIFS(Galerias!$B$2:$B$37,A2,Galerias!$M$2:$M$37,"")</f>
        <v/>
      </c>
      <c r="G2" s="43">
        <f>SUMIFS(Galerias!$R$2:$R$37,Galerias!$B$2:$B$37,A2,Galerias!$M$2:$M$37,"&lt;&gt;")</f>
        <v/>
      </c>
      <c r="H2" s="43">
        <f>SUMIFS(Galerias!$R$2:$R$37,Galerias!$B$2:$B$37,A2,Galerias!$M$2:$M$37,"")</f>
        <v/>
      </c>
    </row>
    <row r="3" ht="15" customHeight="1" s="23">
      <c r="A3" s="25" t="inlineStr">
        <is>
          <t>Rainha</t>
        </is>
      </c>
      <c r="B3" s="28">
        <f>COUNTIF(Camaras!$B$2:$B$65,A3)</f>
        <v/>
      </c>
      <c r="C3" s="28">
        <f>COUNTIFS(Camaras!$B$2:$B$65,A3,Camaras!$K$2:$K$65,"Novo")</f>
        <v/>
      </c>
      <c r="D3" s="43">
        <f>SUMIF(Camaras!$B$2:$B$65,A3,Camaras!$I$2:$I$65)</f>
        <v/>
      </c>
      <c r="E3" s="28">
        <f>COUNTIF(Galerias!$B$2:$B$37,A3)</f>
        <v/>
      </c>
      <c r="F3" s="28">
        <f>COUNTIFS(Galerias!$B$2:$B$37,A3,Galerias!$M$2:$M$37,"")</f>
        <v/>
      </c>
      <c r="G3" s="43">
        <f>SUMIFS(Galerias!$R$2:$R$37,Galerias!$B$2:$B$37,A3,Galerias!$M$2:$M$37,"&lt;&gt;")</f>
        <v/>
      </c>
      <c r="H3" s="43">
        <f>SUMIFS(Galerias!$R$2:$R$37,Galerias!$B$2:$B$37,A3,Galerias!$M$2:$M$37,"")</f>
        <v/>
      </c>
    </row>
    <row r="4" ht="15" customHeight="1" s="23">
      <c r="A4" s="26" t="inlineStr">
        <is>
          <t>Total</t>
        </is>
      </c>
      <c r="B4" s="26">
        <f>SUM(B2:B3)</f>
        <v/>
      </c>
      <c r="C4" s="26">
        <f>SUM(C2:C3)</f>
        <v/>
      </c>
      <c r="D4" s="44">
        <f>SUM(D2:D3)</f>
        <v/>
      </c>
      <c r="E4" s="26">
        <f>SUM(E2:E3)</f>
        <v/>
      </c>
      <c r="F4" s="26">
        <f>SUM(F2:F3)</f>
        <v/>
      </c>
      <c r="G4" s="44">
        <f>SUM(G2:G3)</f>
        <v/>
      </c>
      <c r="H4" s="44">
        <f>SUM(H2:H3)</f>
        <v/>
      </c>
    </row>
    <row r="6" ht="15" customHeight="1" s="23">
      <c r="A6" s="25" t="inlineStr">
        <is>
          <t>Profundidade máxima vinda das galerias com teto (níveis + bônus de completar):</t>
        </is>
      </c>
      <c r="G6" s="28">
        <f>SUMIF(Galerias!$M$2:$M$37,"&lt;&gt;")+COUNTIF(Galerias!$M$2:$M$37,"&lt;&gt;")*Parametros!$B$10</f>
        <v/>
      </c>
    </row>
  </sheetData>
  <printOptions horizontalCentered="0" verticalCentered="0" headings="0" gridLines="0" gridLinesSet="1"/>
  <pageMargins left="0.75" right="0.75" top="1" bottom="1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2026-10-19T23:20:48Z</dcterms:created>
  <dcterms:modified xsi:type="dcterms:W3CDTF">2026-10-20T18:52:49Z</dcterms:modified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</Properties>
</file>